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thier/arctic_rivers/code/GEE/"/>
    </mc:Choice>
  </mc:AlternateContent>
  <xr:revisionPtr revIDLastSave="0" documentId="13_ncr:1_{A8E8BC3E-828A-7142-80ED-FD280CF8FF7F}" xr6:coauthVersionLast="47" xr6:coauthVersionMax="47" xr10:uidLastSave="{00000000-0000-0000-0000-000000000000}"/>
  <bookViews>
    <workbookView xWindow="1660" yWindow="1060" windowWidth="27240" windowHeight="18820" activeTab="2" xr2:uid="{05C33F68-99E0-C249-8863-26BC5CB9B52F}"/>
  </bookViews>
  <sheets>
    <sheet name="median_image" sheetId="1" r:id="rId1"/>
    <sheet name="ml_training" sheetId="2" r:id="rId2"/>
    <sheet name="scaling_to_grid_application" sheetId="3" r:id="rId3"/>
  </sheets>
  <definedNames>
    <definedName name="_xlnm._FilterDatabase" localSheetId="0" hidden="1">median_image!$Z$1:$AC$27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3" l="1"/>
  <c r="F28" i="3"/>
  <c r="A28" i="3"/>
  <c r="BJ29" i="2"/>
  <c r="BE29" i="2"/>
  <c r="AZ29" i="2"/>
  <c r="AU29" i="2"/>
  <c r="AP29" i="2"/>
  <c r="AK29" i="2"/>
  <c r="AF29" i="2"/>
  <c r="AA29" i="2"/>
  <c r="V29" i="2"/>
  <c r="Q29" i="2" l="1"/>
  <c r="L29" i="2"/>
  <c r="G29" i="2"/>
  <c r="B29" i="2"/>
  <c r="DL29" i="1"/>
  <c r="DG29" i="1"/>
  <c r="DB29" i="1"/>
  <c r="CW29" i="1"/>
  <c r="CR29" i="1"/>
  <c r="CM29" i="1"/>
  <c r="CH29" i="1"/>
  <c r="CC29" i="1"/>
  <c r="BX29" i="1"/>
  <c r="BS29" i="1"/>
  <c r="BN29" i="1"/>
  <c r="BI29" i="1"/>
  <c r="BD29" i="1"/>
  <c r="AY29" i="1"/>
  <c r="AT29" i="1"/>
  <c r="AO29" i="1"/>
  <c r="AJ29" i="1"/>
  <c r="AE29" i="1"/>
  <c r="Z29" i="1"/>
  <c r="U29" i="1"/>
  <c r="P29" i="1"/>
  <c r="K29" i="1"/>
  <c r="F29" i="1"/>
  <c r="A29" i="1"/>
</calcChain>
</file>

<file path=xl/sharedStrings.xml><?xml version="1.0" encoding="utf-8"?>
<sst xmlns="http://schemas.openxmlformats.org/spreadsheetml/2006/main" count="2380" uniqueCount="443">
  <si>
    <t>EECU·s</t>
  </si>
  <si>
    <t>Peak Mem</t>
  </si>
  <si>
    <t>Count</t>
  </si>
  <si>
    <t>Description</t>
  </si>
  <si>
    <t>272k</t>
  </si>
  <si>
    <t>Algorithm reduce.median</t>
  </si>
  <si>
    <t>5.4M</t>
  </si>
  <si>
    <t>(plumbing)</t>
  </si>
  <si>
    <t>61M</t>
  </si>
  <si>
    <t>Loading assets: (...)/(...)</t>
  </si>
  <si>
    <t>11M</t>
  </si>
  <si>
    <t>Algorithm Image.addBands</t>
  </si>
  <si>
    <t>2.5M</t>
  </si>
  <si>
    <t>Algorithm Image.select</t>
  </si>
  <si>
    <t>2.4M</t>
  </si>
  <si>
    <t>Algorithm Image.rename</t>
  </si>
  <si>
    <t>1.2M</t>
  </si>
  <si>
    <t>Encoding pixels to image</t>
  </si>
  <si>
    <t>5.8M</t>
  </si>
  <si>
    <t>Algorithm Image.updateMask</t>
  </si>
  <si>
    <t>4.4M</t>
  </si>
  <si>
    <t>Algorithm Image.cast</t>
  </si>
  <si>
    <t>1.0M</t>
  </si>
  <si>
    <t>Reprojection precalculation between EPSG:32648 and SR-ORG:6627</t>
  </si>
  <si>
    <t>Reprojection precalculation between EPSG:32647 and SR-ORG:6627</t>
  </si>
  <si>
    <t>522k</t>
  </si>
  <si>
    <t>Algorithm Image.normalizedDifference</t>
  </si>
  <si>
    <t>1.5M</t>
  </si>
  <si>
    <t>Algorithm Image.subtract</t>
  </si>
  <si>
    <t>125k</t>
  </si>
  <si>
    <t>Algorithm Image.leftShift</t>
  </si>
  <si>
    <t>164k</t>
  </si>
  <si>
    <t>Algorithm Image.uint16</t>
  </si>
  <si>
    <t>259k</t>
  </si>
  <si>
    <t>Algorithm Image.focalMax</t>
  </si>
  <si>
    <t>274k</t>
  </si>
  <si>
    <t>Algorithm Image.lt</t>
  </si>
  <si>
    <t>Algorithm Image.lte</t>
  </si>
  <si>
    <t>Algorithm Image.gt</t>
  </si>
  <si>
    <t>Reprojecting pixels from EPSG:32647 to SR-ORG:6627</t>
  </si>
  <si>
    <t>2.1M</t>
  </si>
  <si>
    <t>Listing collection</t>
  </si>
  <si>
    <t>Reprojecting pixels from EPSG:32648 to SR-ORG:6627</t>
  </si>
  <si>
    <t>3.4k</t>
  </si>
  <si>
    <t>Algorithm Geometry.centroid</t>
  </si>
  <si>
    <t>337k</t>
  </si>
  <si>
    <t>Algorithm Image.multiply</t>
  </si>
  <si>
    <t>1.3k</t>
  </si>
  <si>
    <t>Algorithm Image.updateMask computing pixels</t>
  </si>
  <si>
    <t>1.2k</t>
  </si>
  <si>
    <t>Algorithm Image.cast computing pixels</t>
  </si>
  <si>
    <t>.calendarRange(210,230,'day_of_year')</t>
  </si>
  <si>
    <t>minor tweaks to s2cloudjoin syntax for plumbing or rename efficiency?</t>
  </si>
  <si>
    <t>526k</t>
  </si>
  <si>
    <t>260k</t>
  </si>
  <si>
    <t>3.5k</t>
  </si>
  <si>
    <t>1.5k</t>
  </si>
  <si>
    <t>332k</t>
  </si>
  <si>
    <t>actually helped a bit</t>
  </si>
  <si>
    <t>273k</t>
  </si>
  <si>
    <t>1.6k</t>
  </si>
  <si>
    <t>moved import of s2 to one line</t>
  </si>
  <si>
    <t>minimal change</t>
  </si>
  <si>
    <t>.calendarRange(210,218,'day_of_year')</t>
  </si>
  <si>
    <t>Notes</t>
  </si>
  <si>
    <t>6.0M</t>
  </si>
  <si>
    <t>1.3M</t>
  </si>
  <si>
    <t>1.4M</t>
  </si>
  <si>
    <t>3.3M</t>
  </si>
  <si>
    <t>298k</t>
  </si>
  <si>
    <t>729k</t>
  </si>
  <si>
    <t>148k</t>
  </si>
  <si>
    <t>156k</t>
  </si>
  <si>
    <t>86k</t>
  </si>
  <si>
    <t>66k</t>
  </si>
  <si>
    <t>1.4k</t>
  </si>
  <si>
    <t>192k</t>
  </si>
  <si>
    <t>helped substantially</t>
  </si>
  <si>
    <t>shortened day window</t>
  </si>
  <si>
    <t>select relevant bands early</t>
  </si>
  <si>
    <t>277k</t>
  </si>
  <si>
    <t>4.6M</t>
  </si>
  <si>
    <t>1.8M</t>
  </si>
  <si>
    <t>300k</t>
  </si>
  <si>
    <t>1.7M</t>
  </si>
  <si>
    <t>87k</t>
  </si>
  <si>
    <t>1.0k</t>
  </si>
  <si>
    <t>189k</t>
  </si>
  <si>
    <t>minimal help, reduces memory some, increases elsewhere</t>
  </si>
  <si>
    <t>279k</t>
  </si>
  <si>
    <t>39M</t>
  </si>
  <si>
    <t>3.6M</t>
  </si>
  <si>
    <t>977k</t>
  </si>
  <si>
    <t>208k</t>
  </si>
  <si>
    <t>1.1M</t>
  </si>
  <si>
    <t>104k</t>
  </si>
  <si>
    <t>109k</t>
  </si>
  <si>
    <t>843k</t>
  </si>
  <si>
    <t>132k</t>
  </si>
  <si>
    <t>639k</t>
  </si>
  <si>
    <t>209k</t>
  </si>
  <si>
    <t>730k</t>
  </si>
  <si>
    <t>67k</t>
  </si>
  <si>
    <t>110k</t>
  </si>
  <si>
    <t>841k</t>
  </si>
  <si>
    <t>3.3k</t>
  </si>
  <si>
    <t>133k</t>
  </si>
  <si>
    <t>removed renames; change order of s2 cloud ic filtering (aoi &gt; date &gt; cal range)</t>
  </si>
  <si>
    <t>helps a decent amount in EECU, esp. median; peak unchanged</t>
  </si>
  <si>
    <t>636k</t>
  </si>
  <si>
    <t>207k</t>
  </si>
  <si>
    <t>103k</t>
  </si>
  <si>
    <t>844k</t>
  </si>
  <si>
    <t>1.1k</t>
  </si>
  <si>
    <t>changed date handling in s2 cloud match function</t>
  </si>
  <si>
    <t>hurt a bit, changing back</t>
  </si>
  <si>
    <t>270k</t>
  </si>
  <si>
    <t>102k</t>
  </si>
  <si>
    <t>108k</t>
  </si>
  <si>
    <t>3.2k</t>
  </si>
  <si>
    <t>shortened date search range for cloud match</t>
  </si>
  <si>
    <t>negligible impact</t>
  </si>
  <si>
    <t>combine cloud masking functions</t>
  </si>
  <si>
    <t>265k</t>
  </si>
  <si>
    <t>3.2M</t>
  </si>
  <si>
    <t>Loading assets: COPERNICUS/S2/(...)</t>
  </si>
  <si>
    <t>174k</t>
  </si>
  <si>
    <t>Loading assets: COPERNICUS/S2_CLOUD_PROBABILITY/(...)</t>
  </si>
  <si>
    <t>790k</t>
  </si>
  <si>
    <t>Loading assets: projects/ee-edethier/assets/arctic_erosion/taymyr_peninsula_thaw_slump_metadata</t>
  </si>
  <si>
    <t>2.0k</t>
  </si>
  <si>
    <t>Algorithm Image.subtract computing pixels</t>
  </si>
  <si>
    <t>Algorithm Collection.geometry</t>
  </si>
  <si>
    <t>258k</t>
  </si>
  <si>
    <t>Algorithm Collection.style</t>
  </si>
  <si>
    <t>5.4k</t>
  </si>
  <si>
    <t>Algorithm Image.constant</t>
  </si>
  <si>
    <t>Algorithm Image.lte computing pixels</t>
  </si>
  <si>
    <t>Algorithm Element.geometry</t>
  </si>
  <si>
    <t>Algorithm Image.bitwiseOr</t>
  </si>
  <si>
    <t>2.1k</t>
  </si>
  <si>
    <t>247k</t>
  </si>
  <si>
    <t>2.6M</t>
  </si>
  <si>
    <t>418k</t>
  </si>
  <si>
    <t>988k</t>
  </si>
  <si>
    <t>filtered day of year early, reduced total date range</t>
  </si>
  <si>
    <t>date range halves lots of task peak mem I think</t>
  </si>
  <si>
    <t>moved s2 import to function</t>
  </si>
  <si>
    <t>helps a few percent on eecu, larger improvement on some peak mem</t>
  </si>
  <si>
    <t>246k</t>
  </si>
  <si>
    <t>2.3k</t>
  </si>
  <si>
    <t>moved s2 cloud import to function (just does one image at a time now)</t>
  </si>
  <si>
    <t>negligible changes mostly</t>
  </si>
  <si>
    <t>238k</t>
  </si>
  <si>
    <t>2.5k</t>
  </si>
  <si>
    <t>removed date filter and just matched id for s2 cloud</t>
  </si>
  <si>
    <t>negligible changes mostly, but in wrong direction. Changed back.</t>
  </si>
  <si>
    <t>.calendarRange(210,225,'day_of_year')</t>
  </si>
  <si>
    <t>increased day window</t>
  </si>
  <si>
    <t>3.4M</t>
  </si>
  <si>
    <t>534k</t>
  </si>
  <si>
    <t>2.2M</t>
  </si>
  <si>
    <t>269k</t>
  </si>
  <si>
    <t>972k</t>
  </si>
  <si>
    <t>140k</t>
  </si>
  <si>
    <t>106k</t>
  </si>
  <si>
    <t>81k</t>
  </si>
  <si>
    <t>increased eecu and some peak mem but still pretty fast</t>
  </si>
  <si>
    <t>6.5M</t>
  </si>
  <si>
    <t>3.0M</t>
  </si>
  <si>
    <t>176k</t>
  </si>
  <si>
    <t>973k</t>
  </si>
  <si>
    <t>4.1M</t>
  </si>
  <si>
    <t>494k</t>
  </si>
  <si>
    <t>2.3M</t>
  </si>
  <si>
    <t>1.9M</t>
  </si>
  <si>
    <t>188k</t>
  </si>
  <si>
    <t>143k</t>
  </si>
  <si>
    <t>257k</t>
  </si>
  <si>
    <t>2.0M</t>
  </si>
  <si>
    <t>1.8k</t>
  </si>
  <si>
    <t>2.7k</t>
  </si>
  <si>
    <t>.calendarRange(210,235,'day_of_year')</t>
  </si>
  <si>
    <t>eecu and mem basically doubling but still pretty fast</t>
  </si>
  <si>
    <t>248k</t>
  </si>
  <si>
    <t>8.6M</t>
  </si>
  <si>
    <t>3.9M</t>
  </si>
  <si>
    <t>5.5M</t>
  </si>
  <si>
    <t>664k</t>
  </si>
  <si>
    <t>3.1M</t>
  </si>
  <si>
    <t>345k</t>
  </si>
  <si>
    <t>241k</t>
  </si>
  <si>
    <t>184k</t>
  </si>
  <si>
    <t>2.2k</t>
  </si>
  <si>
    <t>2.4k</t>
  </si>
  <si>
    <t>.calendarRange(210,250,'day_of_year')</t>
  </si>
  <si>
    <t>eecu and mem increasing but still pretty fast</t>
  </si>
  <si>
    <t>7.2M</t>
  </si>
  <si>
    <t>555k</t>
  </si>
  <si>
    <t>288k</t>
  </si>
  <si>
    <t>197k</t>
  </si>
  <si>
    <t>151k</t>
  </si>
  <si>
    <t>.calendarRange(210,240,'day_of_year')</t>
  </si>
  <si>
    <t>decreased day window; limited cloud cover to 18</t>
  </si>
  <si>
    <t>reset aoi to full extent</t>
  </si>
  <si>
    <t>15M</t>
  </si>
  <si>
    <t>447M</t>
  </si>
  <si>
    <t>48M</t>
  </si>
  <si>
    <t>22M</t>
  </si>
  <si>
    <t>6.9M</t>
  </si>
  <si>
    <t>29M</t>
  </si>
  <si>
    <t>3.5M</t>
  </si>
  <si>
    <t>16M</t>
  </si>
  <si>
    <t>13M</t>
  </si>
  <si>
    <t>14M</t>
  </si>
  <si>
    <t>1.7k</t>
  </si>
  <si>
    <t>623k</t>
  </si>
  <si>
    <t>more expensive but not crazy</t>
  </si>
  <si>
    <t>226k</t>
  </si>
  <si>
    <t>8.8M</t>
  </si>
  <si>
    <t>4.0M</t>
  </si>
  <si>
    <t>5.7M</t>
  </si>
  <si>
    <t>685k</t>
  </si>
  <si>
    <t>356k</t>
  </si>
  <si>
    <t>231k</t>
  </si>
  <si>
    <t>2.7M</t>
  </si>
  <si>
    <t>3.1k</t>
  </si>
  <si>
    <t>77k</t>
  </si>
  <si>
    <t>aoi limited to 50 km grid</t>
  </si>
  <si>
    <t>similar to buffered 20 km</t>
  </si>
  <si>
    <t>205k</t>
  </si>
  <si>
    <t>7.1M</t>
  </si>
  <si>
    <t>13k</t>
  </si>
  <si>
    <t>aoi limited to 20 km grid</t>
  </si>
  <si>
    <t>177k</t>
  </si>
  <si>
    <t>6.3M</t>
  </si>
  <si>
    <t>832k</t>
  </si>
  <si>
    <t>Algorithm Image.reproject</t>
  </si>
  <si>
    <t>Algorithm Image.reproject computing pixels</t>
  </si>
  <si>
    <t>Reprojecting pixels from EPSG:32648 to EPSG:32648</t>
  </si>
  <si>
    <t>reproject cloud mask to 1000 m</t>
  </si>
  <si>
    <t>178k</t>
  </si>
  <si>
    <t>6.2M</t>
  </si>
  <si>
    <t>293k</t>
  </si>
  <si>
    <t>153k</t>
  </si>
  <si>
    <t>2.6k</t>
  </si>
  <si>
    <t>Reprojecting pixels from EPSG:32647 to EPSG:32647</t>
  </si>
  <si>
    <t>reproject cloud mask to 2000 m</t>
  </si>
  <si>
    <t>improves quite a bit</t>
  </si>
  <si>
    <t>improves slightly over 1000 m</t>
  </si>
  <si>
    <t>Algorithm Image.focalMax computing pixels</t>
  </si>
  <si>
    <t>4.9M</t>
  </si>
  <si>
    <t>Algorithm Image.multiply computing pixels</t>
  </si>
  <si>
    <t>3.7M</t>
  </si>
  <si>
    <t>1.6M</t>
  </si>
  <si>
    <t>Reprojecting pixels from EPSG:32647 to (...)</t>
  </si>
  <si>
    <t>291k</t>
  </si>
  <si>
    <t>196k</t>
  </si>
  <si>
    <t>152k</t>
  </si>
  <si>
    <t>add focalMax to get shadows</t>
  </si>
  <si>
    <t>expensive but not prohibitive</t>
  </si>
  <si>
    <t>1.9k</t>
  </si>
  <si>
    <t>new base case with cloud mask reprojected to 2 km</t>
  </si>
  <si>
    <t>92M</t>
  </si>
  <si>
    <t>3.8M</t>
  </si>
  <si>
    <t>no description available</t>
  </si>
  <si>
    <t>2.9M</t>
  </si>
  <si>
    <t>Reprojection precalculation between EPSG:4326 and (...)</t>
  </si>
  <si>
    <t>Algorithm Image.pixelLonLat computing pixels</t>
  </si>
  <si>
    <t>315k</t>
  </si>
  <si>
    <t>2.8M</t>
  </si>
  <si>
    <t>6.4M</t>
  </si>
  <si>
    <t>Algorithm Image.clip</t>
  </si>
  <si>
    <t>Algorithm Collection.flatten</t>
  </si>
  <si>
    <t>413k</t>
  </si>
  <si>
    <t>17k</t>
  </si>
  <si>
    <t>Algorithm FeatureCollection.randomPoints</t>
  </si>
  <si>
    <t>Reprojecting pixels from (...) to (...)</t>
  </si>
  <si>
    <t>215k</t>
  </si>
  <si>
    <t>488k</t>
  </si>
  <si>
    <t>Algorithm Image.reduceRegions</t>
  </si>
  <si>
    <t>172k</t>
  </si>
  <si>
    <t>131k</t>
  </si>
  <si>
    <t>2.9k</t>
  </si>
  <si>
    <t>Algorithm Image.clip computing pixels</t>
  </si>
  <si>
    <t>8.3k</t>
  </si>
  <si>
    <t>days</t>
  </si>
  <si>
    <t>10,4</t>
  </si>
  <si>
    <t>training samples</t>
  </si>
  <si>
    <t>km grid</t>
  </si>
  <si>
    <t>101M</t>
  </si>
  <si>
    <t>4.3M</t>
  </si>
  <si>
    <t>403k</t>
  </si>
  <si>
    <t>582k</t>
  </si>
  <si>
    <t>417k</t>
  </si>
  <si>
    <t>625k</t>
  </si>
  <si>
    <t>217k</t>
  </si>
  <si>
    <t>30k</t>
  </si>
  <si>
    <t>173k</t>
  </si>
  <si>
    <t>9.4k</t>
  </si>
  <si>
    <t>Algorithm ReduceRegions.AggregationContainer</t>
  </si>
  <si>
    <t>trees</t>
  </si>
  <si>
    <t>3 trees</t>
  </si>
  <si>
    <t>years of data</t>
  </si>
  <si>
    <t>95M</t>
  </si>
  <si>
    <t>Reprojection precalculation between (...) and (...)</t>
  </si>
  <si>
    <t>385k</t>
  </si>
  <si>
    <t>960k</t>
  </si>
  <si>
    <t>465k</t>
  </si>
  <si>
    <t>70k</t>
  </si>
  <si>
    <t>Algorithm Geometry.buffer</t>
  </si>
  <si>
    <t>128k</t>
  </si>
  <si>
    <t>Algorithm reduce.sum</t>
  </si>
  <si>
    <t>123k</t>
  </si>
  <si>
    <t>Algorithm reduce.count</t>
  </si>
  <si>
    <t>935k</t>
  </si>
  <si>
    <t>113k</t>
  </si>
  <si>
    <t>119k</t>
  </si>
  <si>
    <t>726k</t>
  </si>
  <si>
    <t>760k</t>
  </si>
  <si>
    <t>168k</t>
  </si>
  <si>
    <t>438 M</t>
  </si>
  <si>
    <t>user defined function</t>
  </si>
  <si>
    <t>1.2G</t>
  </si>
  <si>
    <t>462k</t>
  </si>
  <si>
    <t>75k</t>
  </si>
  <si>
    <t>194k</t>
  </si>
  <si>
    <t>282k</t>
  </si>
  <si>
    <t>913k</t>
  </si>
  <si>
    <t>112k</t>
  </si>
  <si>
    <t>118k</t>
  </si>
  <si>
    <t>707k</t>
  </si>
  <si>
    <t>169k</t>
  </si>
  <si>
    <t>59k</t>
  </si>
  <si>
    <t>135k</t>
  </si>
  <si>
    <t>removed clip from reduceRegions function</t>
  </si>
  <si>
    <t>117k</t>
  </si>
  <si>
    <t>706k</t>
  </si>
  <si>
    <t>761k</t>
  </si>
  <si>
    <t>58k</t>
  </si>
  <si>
    <t>10k</t>
  </si>
  <si>
    <t>377k</t>
  </si>
  <si>
    <t>331k</t>
  </si>
  <si>
    <t>907k</t>
  </si>
  <si>
    <t>limited to 3 images for application</t>
  </si>
  <si>
    <t>converted float frequency % image to integer</t>
  </si>
  <si>
    <t>removed 3 image limit</t>
  </si>
  <si>
    <t>437 M</t>
  </si>
  <si>
    <t>93M</t>
  </si>
  <si>
    <t>37M</t>
  </si>
  <si>
    <t>5.0M</t>
  </si>
  <si>
    <t>18M</t>
  </si>
  <si>
    <t>31M</t>
  </si>
  <si>
    <t>7.7M</t>
  </si>
  <si>
    <t>95k</t>
  </si>
  <si>
    <t>Training a SmileRandomForest classifier</t>
  </si>
  <si>
    <t>200,75</t>
  </si>
  <si>
    <t>20,10</t>
  </si>
  <si>
    <t>7.3M</t>
  </si>
  <si>
    <t>931k</t>
  </si>
  <si>
    <t>8.2M</t>
  </si>
  <si>
    <t>5.3M</t>
  </si>
  <si>
    <t>9.4M</t>
  </si>
  <si>
    <t>812k</t>
  </si>
  <si>
    <t>276k</t>
  </si>
  <si>
    <t>376k</t>
  </si>
  <si>
    <t>287k</t>
  </si>
  <si>
    <t>326k</t>
  </si>
  <si>
    <t>1001 M</t>
  </si>
  <si>
    <t>definitely blows up with more days</t>
  </si>
  <si>
    <t>user defined function seems to be hog</t>
  </si>
  <si>
    <t>94M</t>
  </si>
  <si>
    <t>339k</t>
  </si>
  <si>
    <t>914k</t>
  </si>
  <si>
    <t>154k</t>
  </si>
  <si>
    <t>170k</t>
  </si>
  <si>
    <t>134k</t>
  </si>
  <si>
    <t>reduced maxpixels in connected components to 60 from 600</t>
  </si>
  <si>
    <t>Improved somewhat but not as much as expected</t>
  </si>
  <si>
    <t>440 M</t>
  </si>
  <si>
    <t>maxPixels</t>
  </si>
  <si>
    <t>Reprojected river file instead of focalMax. Not as successful an output, comparable speed</t>
  </si>
  <si>
    <t>193k</t>
  </si>
  <si>
    <t>8.1M</t>
  </si>
  <si>
    <t>130k</t>
  </si>
  <si>
    <t>76k</t>
  </si>
  <si>
    <t>145k</t>
  </si>
  <si>
    <t>Algorithm Image.selfMask computing pixels</t>
  </si>
  <si>
    <t>312k</t>
  </si>
  <si>
    <t>Algorithm Image.paint computing pixels</t>
  </si>
  <si>
    <t>999k</t>
  </si>
  <si>
    <t>342k</t>
  </si>
  <si>
    <t>708k</t>
  </si>
  <si>
    <t>120k</t>
  </si>
  <si>
    <t>47k</t>
  </si>
  <si>
    <t>28k</t>
  </si>
  <si>
    <t>added covering grid from asset</t>
  </si>
  <si>
    <t>removed river reproject, used focalMax</t>
  </si>
  <si>
    <t>335k</t>
  </si>
  <si>
    <t>912k</t>
  </si>
  <si>
    <t>116k</t>
  </si>
  <si>
    <t>700k</t>
  </si>
  <si>
    <t>396k</t>
  </si>
  <si>
    <t>32k</t>
  </si>
  <si>
    <t>264M</t>
  </si>
  <si>
    <t>309M</t>
  </si>
  <si>
    <t>235M</t>
  </si>
  <si>
    <t>Algorithm Image.load computing pixels</t>
  </si>
  <si>
    <t>139M</t>
  </si>
  <si>
    <t>Loading classifier model</t>
  </si>
  <si>
    <t>66M</t>
  </si>
  <si>
    <t>35M</t>
  </si>
  <si>
    <t>38M</t>
  </si>
  <si>
    <t>17M</t>
  </si>
  <si>
    <t>Reprojection precalculation between EPSG:32647 and EPSG:4326</t>
  </si>
  <si>
    <t>Reprojection precalculation between EPSG:32648 and EPSG:4326</t>
  </si>
  <si>
    <t>4.2M</t>
  </si>
  <si>
    <t>Algorithm Image.unmask computing pixels</t>
  </si>
  <si>
    <t>9.9M</t>
  </si>
  <si>
    <t>Algorithm Image.gt computing pixels</t>
  </si>
  <si>
    <t>8.0M</t>
  </si>
  <si>
    <t>921k</t>
  </si>
  <si>
    <t>Algorithm Image.connectedComponents computing pixels</t>
  </si>
  <si>
    <t>imported</t>
  </si>
  <si>
    <t>model</t>
  </si>
  <si>
    <t>grid</t>
  </si>
  <si>
    <t>295M</t>
  </si>
  <si>
    <t>277M</t>
  </si>
  <si>
    <t>230M</t>
  </si>
  <si>
    <t>32M</t>
  </si>
  <si>
    <t>10.0M</t>
  </si>
  <si>
    <t>clipping worsens performance</t>
  </si>
  <si>
    <t>217M</t>
  </si>
  <si>
    <t>42M</t>
  </si>
  <si>
    <t>111k</t>
  </si>
  <si>
    <t>36M</t>
  </si>
  <si>
    <t>768k</t>
  </si>
  <si>
    <t>Algorithm Image.connectedPixelCount computing pixels</t>
  </si>
  <si>
    <t>888k</t>
  </si>
  <si>
    <t>7.0M</t>
  </si>
  <si>
    <t>320k</t>
  </si>
  <si>
    <t>839k</t>
  </si>
  <si>
    <t>instead of filtering by geometry, used limit(1)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</si>
</sst>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F39C1-F68F-194F-B38D-7F581343C106}">
  <dimension ref="A1:DO36"/>
  <sheetViews>
    <sheetView topLeftCell="CJ8" workbookViewId="0">
      <selection activeCell="CM29" sqref="CM29:CM35"/>
    </sheetView>
  </sheetViews>
  <sheetFormatPr baseColWidth="10" defaultRowHeight="16" x14ac:dyDescent="0.2"/>
  <sheetData>
    <row r="1" spans="1:119" x14ac:dyDescent="0.2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1</v>
      </c>
      <c r="H1" s="1" t="s">
        <v>2</v>
      </c>
      <c r="I1" s="1" t="s">
        <v>3</v>
      </c>
      <c r="K1" s="1" t="s">
        <v>0</v>
      </c>
      <c r="L1" s="1" t="s">
        <v>1</v>
      </c>
      <c r="M1" s="1" t="s">
        <v>2</v>
      </c>
      <c r="N1" s="1" t="s">
        <v>3</v>
      </c>
      <c r="P1" s="1" t="s">
        <v>0</v>
      </c>
      <c r="Q1" s="1" t="s">
        <v>1</v>
      </c>
      <c r="R1" s="1" t="s">
        <v>2</v>
      </c>
      <c r="S1" s="1" t="s">
        <v>3</v>
      </c>
      <c r="U1" s="1" t="s">
        <v>0</v>
      </c>
      <c r="V1" s="1" t="s">
        <v>1</v>
      </c>
      <c r="W1" s="1" t="s">
        <v>2</v>
      </c>
      <c r="X1" s="1" t="s">
        <v>3</v>
      </c>
      <c r="Z1" s="1" t="s">
        <v>0</v>
      </c>
      <c r="AA1" s="1" t="s">
        <v>1</v>
      </c>
      <c r="AB1" s="1" t="s">
        <v>2</v>
      </c>
      <c r="AC1" s="1" t="s">
        <v>3</v>
      </c>
      <c r="AE1" s="1" t="s">
        <v>0</v>
      </c>
      <c r="AF1" s="1" t="s">
        <v>1</v>
      </c>
      <c r="AG1" s="1" t="s">
        <v>2</v>
      </c>
      <c r="AH1" s="1" t="s">
        <v>3</v>
      </c>
      <c r="AJ1" s="1" t="s">
        <v>0</v>
      </c>
      <c r="AK1" s="1" t="s">
        <v>1</v>
      </c>
      <c r="AL1" s="1" t="s">
        <v>2</v>
      </c>
      <c r="AM1" s="1" t="s">
        <v>3</v>
      </c>
      <c r="AO1" s="1" t="s">
        <v>0</v>
      </c>
      <c r="AP1" s="1" t="s">
        <v>1</v>
      </c>
      <c r="AQ1" s="1" t="s">
        <v>2</v>
      </c>
      <c r="AR1" s="1" t="s">
        <v>3</v>
      </c>
      <c r="AT1" s="1" t="s">
        <v>0</v>
      </c>
      <c r="AU1" s="1" t="s">
        <v>1</v>
      </c>
      <c r="AV1" s="1" t="s">
        <v>2</v>
      </c>
      <c r="AW1" s="1" t="s">
        <v>3</v>
      </c>
      <c r="AY1" s="1" t="s">
        <v>0</v>
      </c>
      <c r="AZ1" s="1" t="s">
        <v>1</v>
      </c>
      <c r="BA1" s="1" t="s">
        <v>2</v>
      </c>
      <c r="BB1" s="1" t="s">
        <v>3</v>
      </c>
      <c r="BD1" s="1" t="s">
        <v>0</v>
      </c>
      <c r="BE1" s="1" t="s">
        <v>1</v>
      </c>
      <c r="BF1" s="1" t="s">
        <v>2</v>
      </c>
      <c r="BG1" s="1" t="s">
        <v>3</v>
      </c>
      <c r="BI1" s="1" t="s">
        <v>0</v>
      </c>
      <c r="BJ1" s="1" t="s">
        <v>1</v>
      </c>
      <c r="BK1" s="1" t="s">
        <v>2</v>
      </c>
      <c r="BL1" s="1" t="s">
        <v>3</v>
      </c>
      <c r="BN1" s="1" t="s">
        <v>0</v>
      </c>
      <c r="BO1" s="1" t="s">
        <v>1</v>
      </c>
      <c r="BP1" s="1" t="s">
        <v>2</v>
      </c>
      <c r="BQ1" s="1" t="s">
        <v>3</v>
      </c>
      <c r="BS1" s="1" t="s">
        <v>0</v>
      </c>
      <c r="BT1" s="1" t="s">
        <v>1</v>
      </c>
      <c r="BU1" s="1" t="s">
        <v>2</v>
      </c>
      <c r="BV1" s="1" t="s">
        <v>3</v>
      </c>
      <c r="BX1" s="1" t="s">
        <v>0</v>
      </c>
      <c r="BY1" s="1" t="s">
        <v>1</v>
      </c>
      <c r="BZ1" s="1" t="s">
        <v>2</v>
      </c>
      <c r="CA1" s="1" t="s">
        <v>3</v>
      </c>
      <c r="CC1" s="1" t="s">
        <v>0</v>
      </c>
      <c r="CD1" s="1" t="s">
        <v>1</v>
      </c>
      <c r="CE1" s="1" t="s">
        <v>2</v>
      </c>
      <c r="CF1" s="1" t="s">
        <v>3</v>
      </c>
      <c r="CH1" s="1" t="s">
        <v>0</v>
      </c>
      <c r="CI1" s="1" t="s">
        <v>1</v>
      </c>
      <c r="CJ1" s="1" t="s">
        <v>2</v>
      </c>
      <c r="CK1" s="1" t="s">
        <v>3</v>
      </c>
      <c r="CM1" s="1" t="s">
        <v>0</v>
      </c>
      <c r="CN1" s="1" t="s">
        <v>1</v>
      </c>
      <c r="CO1" s="1" t="s">
        <v>2</v>
      </c>
      <c r="CP1" s="1" t="s">
        <v>3</v>
      </c>
      <c r="CR1" s="1" t="s">
        <v>0</v>
      </c>
      <c r="CS1" s="1" t="s">
        <v>1</v>
      </c>
      <c r="CT1" s="1" t="s">
        <v>2</v>
      </c>
      <c r="CU1" s="1" t="s">
        <v>3</v>
      </c>
      <c r="CW1" s="1" t="s">
        <v>0</v>
      </c>
      <c r="CX1" s="1" t="s">
        <v>1</v>
      </c>
      <c r="CY1" s="1" t="s">
        <v>2</v>
      </c>
      <c r="CZ1" s="1" t="s">
        <v>3</v>
      </c>
      <c r="DB1" s="1" t="s">
        <v>0</v>
      </c>
      <c r="DC1" s="1" t="s">
        <v>1</v>
      </c>
      <c r="DD1" s="1" t="s">
        <v>2</v>
      </c>
      <c r="DE1" s="1" t="s">
        <v>3</v>
      </c>
      <c r="DG1" s="1" t="s">
        <v>0</v>
      </c>
      <c r="DH1" s="1" t="s">
        <v>1</v>
      </c>
      <c r="DI1" s="1" t="s">
        <v>2</v>
      </c>
      <c r="DJ1" s="1" t="s">
        <v>3</v>
      </c>
      <c r="DL1" s="1" t="s">
        <v>0</v>
      </c>
      <c r="DM1" s="1" t="s">
        <v>1</v>
      </c>
      <c r="DN1" s="1" t="s">
        <v>2</v>
      </c>
      <c r="DO1" s="1" t="s">
        <v>3</v>
      </c>
    </row>
    <row r="2" spans="1:119" x14ac:dyDescent="0.2">
      <c r="A2" s="2">
        <v>181.30099999999999</v>
      </c>
      <c r="B2" s="2" t="s">
        <v>4</v>
      </c>
      <c r="C2" s="2">
        <v>668</v>
      </c>
      <c r="D2" s="2" t="s">
        <v>5</v>
      </c>
      <c r="F2" s="2">
        <v>166.58600000000001</v>
      </c>
      <c r="G2" s="2" t="s">
        <v>35</v>
      </c>
      <c r="H2" s="2">
        <v>668</v>
      </c>
      <c r="I2" s="2" t="s">
        <v>5</v>
      </c>
      <c r="K2" s="2">
        <v>164.21100000000001</v>
      </c>
      <c r="L2" s="2" t="s">
        <v>59</v>
      </c>
      <c r="M2" s="2">
        <v>657</v>
      </c>
      <c r="N2" s="2" t="s">
        <v>5</v>
      </c>
      <c r="P2" s="2">
        <v>104.836</v>
      </c>
      <c r="Q2" s="2" t="s">
        <v>4</v>
      </c>
      <c r="R2" s="2">
        <v>668</v>
      </c>
      <c r="S2" s="2" t="s">
        <v>5</v>
      </c>
      <c r="U2" s="2">
        <v>23.521999999999998</v>
      </c>
      <c r="V2" s="2" t="s">
        <v>6</v>
      </c>
      <c r="W2" s="2">
        <v>195441</v>
      </c>
      <c r="X2" s="2" t="s">
        <v>7</v>
      </c>
      <c r="Z2" s="2">
        <v>20.96</v>
      </c>
      <c r="AA2" s="2" t="s">
        <v>6</v>
      </c>
      <c r="AB2" s="2">
        <v>179453</v>
      </c>
      <c r="AC2" s="2" t="s">
        <v>7</v>
      </c>
      <c r="AE2" s="2">
        <v>20.244</v>
      </c>
      <c r="AF2" s="2" t="s">
        <v>6</v>
      </c>
      <c r="AG2" s="2">
        <v>176160</v>
      </c>
      <c r="AH2" s="2" t="s">
        <v>7</v>
      </c>
      <c r="AJ2" s="2">
        <v>21.513999999999999</v>
      </c>
      <c r="AK2" s="2" t="s">
        <v>6</v>
      </c>
      <c r="AL2" s="2">
        <v>176180</v>
      </c>
      <c r="AM2" s="2" t="s">
        <v>7</v>
      </c>
      <c r="AO2" s="2">
        <v>20.948</v>
      </c>
      <c r="AP2" s="2" t="s">
        <v>6</v>
      </c>
      <c r="AQ2" s="2">
        <v>175061</v>
      </c>
      <c r="AR2" s="2" t="s">
        <v>7</v>
      </c>
      <c r="AT2" s="2">
        <v>21.716000000000001</v>
      </c>
      <c r="AU2" s="2" t="s">
        <v>6</v>
      </c>
      <c r="AV2" s="2">
        <v>168509</v>
      </c>
      <c r="AW2" s="2" t="s">
        <v>7</v>
      </c>
      <c r="AY2" s="2">
        <v>18.693999999999999</v>
      </c>
      <c r="AZ2" s="2" t="s">
        <v>6</v>
      </c>
      <c r="BA2" s="2">
        <v>153441</v>
      </c>
      <c r="BB2" s="2" t="s">
        <v>7</v>
      </c>
      <c r="BD2" s="2">
        <v>18.329000000000001</v>
      </c>
      <c r="BE2" s="2" t="s">
        <v>6</v>
      </c>
      <c r="BF2" s="2">
        <v>153344</v>
      </c>
      <c r="BG2" s="2" t="s">
        <v>7</v>
      </c>
      <c r="BI2" s="2">
        <v>17.082000000000001</v>
      </c>
      <c r="BJ2" s="2" t="s">
        <v>6</v>
      </c>
      <c r="BK2" s="2">
        <v>146488</v>
      </c>
      <c r="BL2" s="2" t="s">
        <v>7</v>
      </c>
      <c r="BN2" s="2">
        <v>21.376000000000001</v>
      </c>
      <c r="BO2" s="2" t="s">
        <v>6</v>
      </c>
      <c r="BP2" s="2">
        <v>178729</v>
      </c>
      <c r="BQ2" s="2" t="s">
        <v>7</v>
      </c>
      <c r="BS2" s="2">
        <v>27.786000000000001</v>
      </c>
      <c r="BT2" s="2" t="s">
        <v>6</v>
      </c>
      <c r="BU2" s="2">
        <v>262511</v>
      </c>
      <c r="BV2" s="2" t="s">
        <v>7</v>
      </c>
      <c r="BX2" s="2">
        <v>31.12</v>
      </c>
      <c r="BY2" s="2" t="s">
        <v>6</v>
      </c>
      <c r="BZ2" s="2">
        <v>332947</v>
      </c>
      <c r="CA2" s="2" t="s">
        <v>7</v>
      </c>
      <c r="CC2" s="2">
        <v>28.564</v>
      </c>
      <c r="CD2" s="2" t="s">
        <v>6</v>
      </c>
      <c r="CE2" s="2">
        <v>289316</v>
      </c>
      <c r="CF2" s="2" t="s">
        <v>7</v>
      </c>
      <c r="CH2" s="2">
        <v>118.06100000000001</v>
      </c>
      <c r="CI2" s="2" t="s">
        <v>205</v>
      </c>
      <c r="CJ2" s="2">
        <v>762869</v>
      </c>
      <c r="CK2" s="2" t="s">
        <v>7</v>
      </c>
      <c r="CM2" s="2">
        <v>234.56399999999999</v>
      </c>
      <c r="CN2" s="2" t="s">
        <v>218</v>
      </c>
      <c r="CO2" s="2">
        <v>668</v>
      </c>
      <c r="CP2" s="2" t="s">
        <v>5</v>
      </c>
      <c r="CR2" s="2">
        <v>216.88399999999999</v>
      </c>
      <c r="CS2" s="2" t="s">
        <v>230</v>
      </c>
      <c r="CT2" s="2">
        <v>668</v>
      </c>
      <c r="CU2" s="2" t="s">
        <v>5</v>
      </c>
      <c r="CW2" s="2">
        <v>185.636</v>
      </c>
      <c r="CX2" s="2" t="s">
        <v>234</v>
      </c>
      <c r="CY2" s="2">
        <v>668</v>
      </c>
      <c r="CZ2" s="2" t="s">
        <v>5</v>
      </c>
      <c r="DB2" s="2">
        <v>181.327</v>
      </c>
      <c r="DC2" s="2" t="s">
        <v>241</v>
      </c>
      <c r="DD2" s="2">
        <v>668</v>
      </c>
      <c r="DE2" s="2" t="s">
        <v>5</v>
      </c>
      <c r="DG2" s="2">
        <v>172.874</v>
      </c>
      <c r="DH2" s="2" t="s">
        <v>192</v>
      </c>
      <c r="DI2" s="2">
        <v>668</v>
      </c>
      <c r="DJ2" s="2" t="s">
        <v>5</v>
      </c>
      <c r="DL2" s="2">
        <v>161.71600000000001</v>
      </c>
      <c r="DM2" s="2" t="s">
        <v>234</v>
      </c>
      <c r="DN2" s="2">
        <v>624</v>
      </c>
      <c r="DO2" s="2" t="s">
        <v>5</v>
      </c>
    </row>
    <row r="3" spans="1:119" x14ac:dyDescent="0.2">
      <c r="A3" s="2">
        <v>34.048000000000002</v>
      </c>
      <c r="B3" s="2" t="s">
        <v>6</v>
      </c>
      <c r="C3" s="2">
        <v>289399</v>
      </c>
      <c r="D3" s="2" t="s">
        <v>7</v>
      </c>
      <c r="F3" s="2">
        <v>28.606999999999999</v>
      </c>
      <c r="G3" s="2" t="s">
        <v>6</v>
      </c>
      <c r="H3" s="2">
        <v>289309</v>
      </c>
      <c r="I3" s="2" t="s">
        <v>7</v>
      </c>
      <c r="K3" s="2">
        <v>29.852</v>
      </c>
      <c r="L3" s="2" t="s">
        <v>6</v>
      </c>
      <c r="M3" s="2">
        <v>286875</v>
      </c>
      <c r="N3" s="2" t="s">
        <v>7</v>
      </c>
      <c r="P3" s="2">
        <v>22.512</v>
      </c>
      <c r="Q3" s="2" t="s">
        <v>6</v>
      </c>
      <c r="R3" s="2">
        <v>189933</v>
      </c>
      <c r="S3" s="2" t="s">
        <v>7</v>
      </c>
      <c r="U3" s="2">
        <v>6.9000000000000006E-2</v>
      </c>
      <c r="V3" s="2" t="s">
        <v>43</v>
      </c>
      <c r="W3" s="2">
        <v>3455</v>
      </c>
      <c r="X3" s="2" t="s">
        <v>44</v>
      </c>
      <c r="Z3" s="2">
        <v>7.3999999999999996E-2</v>
      </c>
      <c r="AA3" s="2" t="s">
        <v>55</v>
      </c>
      <c r="AB3" s="2">
        <v>3065</v>
      </c>
      <c r="AC3" s="2" t="s">
        <v>44</v>
      </c>
      <c r="AE3" s="2">
        <v>7.6999999999999999E-2</v>
      </c>
      <c r="AF3" s="2" t="s">
        <v>105</v>
      </c>
      <c r="AG3" s="2">
        <v>3065</v>
      </c>
      <c r="AH3" s="2" t="s">
        <v>44</v>
      </c>
      <c r="AJ3" s="2">
        <v>6.9000000000000006E-2</v>
      </c>
      <c r="AK3" s="2" t="s">
        <v>43</v>
      </c>
      <c r="AL3" s="2">
        <v>3065</v>
      </c>
      <c r="AM3" s="2" t="s">
        <v>44</v>
      </c>
      <c r="AO3" s="2">
        <v>6.0999999999999999E-2</v>
      </c>
      <c r="AP3" s="2" t="s">
        <v>119</v>
      </c>
      <c r="AQ3" s="2">
        <v>3065</v>
      </c>
      <c r="AR3" s="2" t="s">
        <v>44</v>
      </c>
      <c r="AT3" s="2">
        <v>0.159</v>
      </c>
      <c r="AU3" s="2" t="s">
        <v>105</v>
      </c>
      <c r="AV3" s="2">
        <v>3065</v>
      </c>
      <c r="AW3" s="2" t="s">
        <v>44</v>
      </c>
      <c r="AY3" s="2">
        <v>9.1999999999999998E-2</v>
      </c>
      <c r="AZ3" s="2" t="s">
        <v>119</v>
      </c>
      <c r="BA3" s="2">
        <v>3065</v>
      </c>
      <c r="BB3" s="2" t="s">
        <v>44</v>
      </c>
      <c r="BD3" s="2">
        <v>3.5000000000000003E-2</v>
      </c>
      <c r="BE3" s="2" t="s">
        <v>133</v>
      </c>
      <c r="BF3" s="2">
        <v>24</v>
      </c>
      <c r="BG3" s="2" t="s">
        <v>134</v>
      </c>
      <c r="BI3" s="2">
        <v>3.5999999999999997E-2</v>
      </c>
      <c r="BJ3" s="2" t="s">
        <v>133</v>
      </c>
      <c r="BK3" s="2">
        <v>24</v>
      </c>
      <c r="BL3" s="2" t="s">
        <v>134</v>
      </c>
      <c r="BN3" s="2">
        <v>8.4000000000000005E-2</v>
      </c>
      <c r="BO3" s="2" t="s">
        <v>119</v>
      </c>
      <c r="BP3" s="2">
        <v>3752</v>
      </c>
      <c r="BQ3" s="2" t="s">
        <v>44</v>
      </c>
      <c r="BS3" s="2">
        <v>0.13100000000000001</v>
      </c>
      <c r="BT3" s="2" t="s">
        <v>105</v>
      </c>
      <c r="BU3" s="2">
        <v>5936</v>
      </c>
      <c r="BV3" s="2" t="s">
        <v>44</v>
      </c>
      <c r="BX3" s="2">
        <v>0.188</v>
      </c>
      <c r="BY3" s="2" t="s">
        <v>105</v>
      </c>
      <c r="BZ3" s="2">
        <v>7952</v>
      </c>
      <c r="CA3" s="2" t="s">
        <v>44</v>
      </c>
      <c r="CC3" s="2">
        <v>0.14299999999999999</v>
      </c>
      <c r="CD3" s="2" t="s">
        <v>119</v>
      </c>
      <c r="CE3" s="2">
        <v>6695</v>
      </c>
      <c r="CF3" s="2" t="s">
        <v>44</v>
      </c>
      <c r="CH3" s="2">
        <v>0.161</v>
      </c>
      <c r="CI3" s="2" t="s">
        <v>133</v>
      </c>
      <c r="CJ3" s="2">
        <v>24</v>
      </c>
      <c r="CK3" s="2" t="s">
        <v>134</v>
      </c>
      <c r="CM3" s="2">
        <v>31.701000000000001</v>
      </c>
      <c r="CN3" s="2" t="s">
        <v>6</v>
      </c>
      <c r="CO3" s="2">
        <v>305273</v>
      </c>
      <c r="CP3" s="2" t="s">
        <v>7</v>
      </c>
      <c r="CR3" s="2">
        <v>28.939</v>
      </c>
      <c r="CS3" s="2" t="s">
        <v>6</v>
      </c>
      <c r="CT3" s="2">
        <v>289330</v>
      </c>
      <c r="CU3" s="2" t="s">
        <v>7</v>
      </c>
      <c r="CW3" s="2">
        <v>30.31</v>
      </c>
      <c r="CX3" s="2" t="s">
        <v>6</v>
      </c>
      <c r="CY3" s="2">
        <v>299283</v>
      </c>
      <c r="CZ3" s="2" t="s">
        <v>7</v>
      </c>
      <c r="DB3" s="2">
        <v>30.114000000000001</v>
      </c>
      <c r="DC3" s="2" t="s">
        <v>6</v>
      </c>
      <c r="DD3" s="2">
        <v>299357</v>
      </c>
      <c r="DE3" s="2" t="s">
        <v>7</v>
      </c>
      <c r="DG3" s="2">
        <v>137.40100000000001</v>
      </c>
      <c r="DH3" s="2" t="s">
        <v>174</v>
      </c>
      <c r="DI3" s="2">
        <v>2784</v>
      </c>
      <c r="DJ3" s="2" t="s">
        <v>250</v>
      </c>
      <c r="DL3" s="2">
        <v>26.116</v>
      </c>
      <c r="DM3" s="2" t="s">
        <v>6</v>
      </c>
      <c r="DN3" s="2">
        <v>273217</v>
      </c>
      <c r="DO3" s="2" t="s">
        <v>7</v>
      </c>
    </row>
    <row r="4" spans="1:119" x14ac:dyDescent="0.2">
      <c r="A4" s="2">
        <v>16.997</v>
      </c>
      <c r="B4" s="2" t="s">
        <v>8</v>
      </c>
      <c r="C4" s="2">
        <v>40513</v>
      </c>
      <c r="D4" s="2" t="s">
        <v>9</v>
      </c>
      <c r="F4" s="2">
        <v>15.301</v>
      </c>
      <c r="G4" s="2" t="s">
        <v>8</v>
      </c>
      <c r="H4" s="2">
        <v>40469</v>
      </c>
      <c r="I4" s="2" t="s">
        <v>9</v>
      </c>
      <c r="K4" s="2">
        <v>14.847</v>
      </c>
      <c r="L4" s="2" t="s">
        <v>8</v>
      </c>
      <c r="M4" s="2">
        <v>40089</v>
      </c>
      <c r="N4" s="2" t="s">
        <v>9</v>
      </c>
      <c r="P4" s="2">
        <v>10.217000000000001</v>
      </c>
      <c r="Q4" s="2" t="s">
        <v>8</v>
      </c>
      <c r="R4" s="2">
        <v>30557</v>
      </c>
      <c r="S4" s="2" t="s">
        <v>9</v>
      </c>
      <c r="U4" s="2">
        <v>3.6150000000000002</v>
      </c>
      <c r="V4" s="2" t="s">
        <v>81</v>
      </c>
      <c r="W4" s="2">
        <v>32073</v>
      </c>
      <c r="X4" s="2" t="s">
        <v>11</v>
      </c>
      <c r="Z4" s="2">
        <v>3.3460000000000001</v>
      </c>
      <c r="AA4" s="2" t="s">
        <v>91</v>
      </c>
      <c r="AB4" s="2">
        <v>29733</v>
      </c>
      <c r="AC4" s="2" t="s">
        <v>11</v>
      </c>
      <c r="AE4" s="2">
        <v>3.4670000000000001</v>
      </c>
      <c r="AF4" s="2" t="s">
        <v>91</v>
      </c>
      <c r="AG4" s="2">
        <v>29733</v>
      </c>
      <c r="AH4" s="2" t="s">
        <v>11</v>
      </c>
      <c r="AJ4" s="2">
        <v>3.625</v>
      </c>
      <c r="AK4" s="2" t="s">
        <v>91</v>
      </c>
      <c r="AL4" s="2">
        <v>29733</v>
      </c>
      <c r="AM4" s="2" t="s">
        <v>11</v>
      </c>
      <c r="AO4" s="2">
        <v>3.2509999999999999</v>
      </c>
      <c r="AP4" s="2" t="s">
        <v>91</v>
      </c>
      <c r="AQ4" s="2">
        <v>29733</v>
      </c>
      <c r="AR4" s="2" t="s">
        <v>11</v>
      </c>
      <c r="AT4" s="2">
        <v>3.1190000000000002</v>
      </c>
      <c r="AU4" s="2" t="s">
        <v>124</v>
      </c>
      <c r="AV4" s="2">
        <v>26686</v>
      </c>
      <c r="AW4" s="2" t="s">
        <v>11</v>
      </c>
      <c r="AY4" s="2">
        <v>2.4569999999999999</v>
      </c>
      <c r="AZ4" s="2" t="s">
        <v>142</v>
      </c>
      <c r="BA4" s="2">
        <v>20682</v>
      </c>
      <c r="BB4" s="2" t="s">
        <v>11</v>
      </c>
      <c r="BD4" s="2">
        <v>6.8000000000000005E-2</v>
      </c>
      <c r="BE4" s="2" t="s">
        <v>105</v>
      </c>
      <c r="BF4" s="2">
        <v>3065</v>
      </c>
      <c r="BG4" s="2" t="s">
        <v>44</v>
      </c>
      <c r="BI4" s="2">
        <v>6.5000000000000002E-2</v>
      </c>
      <c r="BJ4" s="2" t="s">
        <v>119</v>
      </c>
      <c r="BK4" s="2">
        <v>3065</v>
      </c>
      <c r="BL4" s="2" t="s">
        <v>44</v>
      </c>
      <c r="BN4" s="2">
        <v>2.9169999999999998</v>
      </c>
      <c r="BO4" s="2" t="s">
        <v>159</v>
      </c>
      <c r="BP4" s="2">
        <v>25146</v>
      </c>
      <c r="BQ4" s="2" t="s">
        <v>11</v>
      </c>
      <c r="BS4" s="2">
        <v>4.9119999999999999</v>
      </c>
      <c r="BT4" s="2" t="s">
        <v>168</v>
      </c>
      <c r="BU4" s="2">
        <v>41877</v>
      </c>
      <c r="BV4" s="2" t="s">
        <v>11</v>
      </c>
      <c r="BX4" s="2">
        <v>5.9290000000000003</v>
      </c>
      <c r="BY4" s="2" t="s">
        <v>185</v>
      </c>
      <c r="BZ4" s="2">
        <v>51795</v>
      </c>
      <c r="CA4" s="2" t="s">
        <v>11</v>
      </c>
      <c r="CC4" s="2">
        <v>5.5019999999999998</v>
      </c>
      <c r="CD4" s="2" t="s">
        <v>197</v>
      </c>
      <c r="CE4" s="2">
        <v>45468</v>
      </c>
      <c r="CF4" s="2" t="s">
        <v>11</v>
      </c>
      <c r="CH4" s="2">
        <v>0.155</v>
      </c>
      <c r="CI4" s="2" t="s">
        <v>119</v>
      </c>
      <c r="CJ4" s="2">
        <v>19337</v>
      </c>
      <c r="CK4" s="2" t="s">
        <v>138</v>
      </c>
      <c r="CM4" s="2">
        <v>23.637</v>
      </c>
      <c r="CN4" s="2" t="s">
        <v>207</v>
      </c>
      <c r="CO4" s="2">
        <v>47192</v>
      </c>
      <c r="CP4" s="2" t="s">
        <v>9</v>
      </c>
      <c r="CR4" s="2">
        <v>22.431000000000001</v>
      </c>
      <c r="CS4" s="2" t="s">
        <v>90</v>
      </c>
      <c r="CT4" s="2">
        <v>45439</v>
      </c>
      <c r="CU4" s="2" t="s">
        <v>9</v>
      </c>
      <c r="CW4" s="2">
        <v>22.466999999999999</v>
      </c>
      <c r="CX4" s="2" t="s">
        <v>90</v>
      </c>
      <c r="CY4" s="2">
        <v>45931</v>
      </c>
      <c r="CZ4" s="2" t="s">
        <v>9</v>
      </c>
      <c r="DB4" s="2">
        <v>22.271999999999998</v>
      </c>
      <c r="DC4" s="2" t="s">
        <v>90</v>
      </c>
      <c r="DD4" s="2">
        <v>45967</v>
      </c>
      <c r="DE4" s="2" t="s">
        <v>9</v>
      </c>
      <c r="DG4" s="2">
        <v>70.697999999999993</v>
      </c>
      <c r="DH4" s="2" t="s">
        <v>251</v>
      </c>
      <c r="DI4" s="2">
        <v>5568</v>
      </c>
      <c r="DJ4" s="2" t="s">
        <v>252</v>
      </c>
      <c r="DL4" s="2">
        <v>21.091999999999999</v>
      </c>
      <c r="DM4" s="2" t="s">
        <v>90</v>
      </c>
      <c r="DN4" s="2">
        <v>42203</v>
      </c>
      <c r="DO4" s="2" t="s">
        <v>9</v>
      </c>
    </row>
    <row r="5" spans="1:119" x14ac:dyDescent="0.2">
      <c r="A5" s="2">
        <v>7.3890000000000002</v>
      </c>
      <c r="B5" s="2" t="s">
        <v>10</v>
      </c>
      <c r="C5" s="2">
        <v>54816</v>
      </c>
      <c r="D5" s="2" t="s">
        <v>11</v>
      </c>
      <c r="F5" s="2">
        <v>6.4829999999999997</v>
      </c>
      <c r="G5" s="2" t="s">
        <v>10</v>
      </c>
      <c r="H5" s="2">
        <v>54816</v>
      </c>
      <c r="I5" s="2" t="s">
        <v>11</v>
      </c>
      <c r="K5" s="2">
        <v>6.5449999999999999</v>
      </c>
      <c r="L5" s="2" t="s">
        <v>10</v>
      </c>
      <c r="M5" s="2">
        <v>54486</v>
      </c>
      <c r="N5" s="2" t="s">
        <v>11</v>
      </c>
      <c r="P5" s="2">
        <v>3.843</v>
      </c>
      <c r="Q5" s="2" t="s">
        <v>65</v>
      </c>
      <c r="R5" s="2">
        <v>32073</v>
      </c>
      <c r="S5" s="2" t="s">
        <v>11</v>
      </c>
      <c r="U5" s="2">
        <v>0.72399999999999998</v>
      </c>
      <c r="V5" s="2" t="s">
        <v>12</v>
      </c>
      <c r="W5" s="2">
        <v>3392</v>
      </c>
      <c r="X5" s="2" t="s">
        <v>21</v>
      </c>
      <c r="Z5" s="2">
        <v>0.67100000000000004</v>
      </c>
      <c r="AA5" s="2" t="s">
        <v>84</v>
      </c>
      <c r="AB5" s="2">
        <v>3002</v>
      </c>
      <c r="AC5" s="2" t="s">
        <v>21</v>
      </c>
      <c r="AE5" s="2">
        <v>0.66900000000000004</v>
      </c>
      <c r="AF5" s="2" t="s">
        <v>84</v>
      </c>
      <c r="AG5" s="2">
        <v>3002</v>
      </c>
      <c r="AH5" s="2" t="s">
        <v>21</v>
      </c>
      <c r="AJ5" s="2">
        <v>0.68600000000000005</v>
      </c>
      <c r="AK5" s="2" t="s">
        <v>84</v>
      </c>
      <c r="AL5" s="2">
        <v>3002</v>
      </c>
      <c r="AM5" s="2" t="s">
        <v>21</v>
      </c>
      <c r="AO5" s="2">
        <v>0.63</v>
      </c>
      <c r="AP5" s="2" t="s">
        <v>84</v>
      </c>
      <c r="AQ5" s="2">
        <v>3002</v>
      </c>
      <c r="AR5" s="2" t="s">
        <v>21</v>
      </c>
      <c r="AT5" s="2">
        <v>0.68400000000000005</v>
      </c>
      <c r="AU5" s="2" t="s">
        <v>84</v>
      </c>
      <c r="AV5" s="2">
        <v>3002</v>
      </c>
      <c r="AW5" s="2" t="s">
        <v>21</v>
      </c>
      <c r="AY5" s="2">
        <v>0.68799999999999994</v>
      </c>
      <c r="AZ5" s="2" t="s">
        <v>84</v>
      </c>
      <c r="BA5" s="2">
        <v>3002</v>
      </c>
      <c r="BB5" s="2" t="s">
        <v>21</v>
      </c>
      <c r="BD5" s="2">
        <v>2.2559999999999998</v>
      </c>
      <c r="BE5" s="2" t="s">
        <v>142</v>
      </c>
      <c r="BF5" s="2">
        <v>20682</v>
      </c>
      <c r="BG5" s="2" t="s">
        <v>11</v>
      </c>
      <c r="BI5" s="2">
        <v>2.238</v>
      </c>
      <c r="BJ5" s="2" t="s">
        <v>142</v>
      </c>
      <c r="BK5" s="2">
        <v>20682</v>
      </c>
      <c r="BL5" s="2" t="s">
        <v>11</v>
      </c>
      <c r="BN5" s="2">
        <v>0.84699999999999998</v>
      </c>
      <c r="BO5" s="2" t="s">
        <v>161</v>
      </c>
      <c r="BP5" s="2">
        <v>3689</v>
      </c>
      <c r="BQ5" s="2" t="s">
        <v>21</v>
      </c>
      <c r="BS5" s="2">
        <v>1.25</v>
      </c>
      <c r="BT5" s="2" t="s">
        <v>172</v>
      </c>
      <c r="BU5" s="2">
        <v>5873</v>
      </c>
      <c r="BV5" s="2" t="s">
        <v>21</v>
      </c>
      <c r="BX5" s="2">
        <v>1.7130000000000001</v>
      </c>
      <c r="BY5" s="2" t="s">
        <v>187</v>
      </c>
      <c r="BZ5" s="2">
        <v>7889</v>
      </c>
      <c r="CA5" s="2" t="s">
        <v>21</v>
      </c>
      <c r="CC5" s="2">
        <v>1.4950000000000001</v>
      </c>
      <c r="CD5" s="2" t="s">
        <v>81</v>
      </c>
      <c r="CE5" s="2">
        <v>6632</v>
      </c>
      <c r="CF5" s="2" t="s">
        <v>21</v>
      </c>
      <c r="CH5" s="2">
        <v>0.38500000000000001</v>
      </c>
      <c r="CI5" s="2" t="s">
        <v>105</v>
      </c>
      <c r="CJ5" s="2">
        <v>19337</v>
      </c>
      <c r="CK5" s="2" t="s">
        <v>44</v>
      </c>
      <c r="CM5" s="2">
        <v>6.3259999999999996</v>
      </c>
      <c r="CN5" s="2" t="s">
        <v>219</v>
      </c>
      <c r="CO5" s="2">
        <v>48528</v>
      </c>
      <c r="CP5" s="2" t="s">
        <v>11</v>
      </c>
      <c r="CR5" s="2">
        <v>5.4050000000000002</v>
      </c>
      <c r="CS5" s="2" t="s">
        <v>231</v>
      </c>
      <c r="CT5" s="2">
        <v>45468</v>
      </c>
      <c r="CU5" s="2" t="s">
        <v>11</v>
      </c>
      <c r="CW5" s="2">
        <v>5.2670000000000003</v>
      </c>
      <c r="CX5" s="2" t="s">
        <v>159</v>
      </c>
      <c r="CY5" s="2">
        <v>45263</v>
      </c>
      <c r="CZ5" s="2" t="s">
        <v>13</v>
      </c>
      <c r="DB5" s="2">
        <v>5.0960000000000001</v>
      </c>
      <c r="DC5" s="2" t="s">
        <v>159</v>
      </c>
      <c r="DD5" s="2">
        <v>45263</v>
      </c>
      <c r="DE5" s="2" t="s">
        <v>13</v>
      </c>
      <c r="DG5" s="2">
        <v>36.776000000000003</v>
      </c>
      <c r="DH5" s="2" t="s">
        <v>6</v>
      </c>
      <c r="DI5" s="2">
        <v>366848</v>
      </c>
      <c r="DJ5" s="2" t="s">
        <v>7</v>
      </c>
      <c r="DL5" s="2">
        <v>4.4950000000000001</v>
      </c>
      <c r="DM5" s="2" t="s">
        <v>159</v>
      </c>
      <c r="DN5" s="2">
        <v>40503</v>
      </c>
      <c r="DO5" s="2" t="s">
        <v>13</v>
      </c>
    </row>
    <row r="6" spans="1:119" x14ac:dyDescent="0.2">
      <c r="A6" s="2">
        <v>5.0839999999999996</v>
      </c>
      <c r="B6" s="2" t="s">
        <v>12</v>
      </c>
      <c r="C6" s="2">
        <v>46549</v>
      </c>
      <c r="D6" s="2" t="s">
        <v>13</v>
      </c>
      <c r="F6" s="2">
        <v>4.5540000000000003</v>
      </c>
      <c r="G6" s="2" t="s">
        <v>12</v>
      </c>
      <c r="H6" s="2">
        <v>46549</v>
      </c>
      <c r="I6" s="2" t="s">
        <v>13</v>
      </c>
      <c r="K6" s="2">
        <v>4.59</v>
      </c>
      <c r="L6" s="2" t="s">
        <v>12</v>
      </c>
      <c r="M6" s="2">
        <v>46347</v>
      </c>
      <c r="N6" s="2" t="s">
        <v>13</v>
      </c>
      <c r="P6" s="2">
        <v>2.9009999999999998</v>
      </c>
      <c r="Q6" s="2" t="s">
        <v>16</v>
      </c>
      <c r="R6" s="2">
        <v>72</v>
      </c>
      <c r="S6" s="2" t="s">
        <v>17</v>
      </c>
      <c r="U6" s="2">
        <v>7.6999999999999999E-2</v>
      </c>
      <c r="V6" s="3">
        <v>1016</v>
      </c>
      <c r="W6" s="2">
        <v>4032</v>
      </c>
      <c r="X6" s="2" t="s">
        <v>50</v>
      </c>
      <c r="Z6" s="2">
        <v>6.9000000000000006E-2</v>
      </c>
      <c r="AA6" s="2" t="s">
        <v>49</v>
      </c>
      <c r="AB6" s="2">
        <v>4032</v>
      </c>
      <c r="AC6" s="2" t="s">
        <v>50</v>
      </c>
      <c r="AE6" s="2">
        <v>7.6999999999999999E-2</v>
      </c>
      <c r="AF6" s="2" t="s">
        <v>49</v>
      </c>
      <c r="AG6" s="2">
        <v>4032</v>
      </c>
      <c r="AH6" s="2" t="s">
        <v>50</v>
      </c>
      <c r="AJ6" s="2">
        <v>8.1000000000000003E-2</v>
      </c>
      <c r="AK6" s="2" t="s">
        <v>49</v>
      </c>
      <c r="AL6" s="2">
        <v>4032</v>
      </c>
      <c r="AM6" s="2" t="s">
        <v>50</v>
      </c>
      <c r="AO6" s="2">
        <v>7.1999999999999995E-2</v>
      </c>
      <c r="AP6" s="2" t="s">
        <v>47</v>
      </c>
      <c r="AQ6" s="2">
        <v>4032</v>
      </c>
      <c r="AR6" s="2" t="s">
        <v>50</v>
      </c>
      <c r="AT6" s="2">
        <v>7.0000000000000007E-2</v>
      </c>
      <c r="AU6" s="2" t="s">
        <v>47</v>
      </c>
      <c r="AV6" s="2">
        <v>4032</v>
      </c>
      <c r="AW6" s="2" t="s">
        <v>50</v>
      </c>
      <c r="AY6" s="2">
        <v>7.6999999999999999E-2</v>
      </c>
      <c r="AZ6" s="2" t="s">
        <v>75</v>
      </c>
      <c r="BA6" s="2">
        <v>4032</v>
      </c>
      <c r="BB6" s="2" t="s">
        <v>50</v>
      </c>
      <c r="BD6" s="2">
        <v>0.64400000000000002</v>
      </c>
      <c r="BE6" s="2" t="s">
        <v>84</v>
      </c>
      <c r="BF6" s="2">
        <v>3002</v>
      </c>
      <c r="BG6" s="2" t="s">
        <v>21</v>
      </c>
      <c r="BI6" s="2">
        <v>0.63600000000000001</v>
      </c>
      <c r="BJ6" s="2" t="s">
        <v>84</v>
      </c>
      <c r="BK6" s="2">
        <v>3002</v>
      </c>
      <c r="BL6" s="2" t="s">
        <v>21</v>
      </c>
      <c r="BN6" s="2">
        <v>8.5000000000000006E-2</v>
      </c>
      <c r="BO6" s="2" t="s">
        <v>49</v>
      </c>
      <c r="BP6" s="2">
        <v>4896</v>
      </c>
      <c r="BQ6" s="2" t="s">
        <v>50</v>
      </c>
      <c r="BS6" s="2">
        <v>0.128</v>
      </c>
      <c r="BT6" s="2" t="s">
        <v>56</v>
      </c>
      <c r="BU6" s="2">
        <v>7344</v>
      </c>
      <c r="BV6" s="2" t="s">
        <v>50</v>
      </c>
      <c r="BX6" s="2">
        <v>0.16400000000000001</v>
      </c>
      <c r="BY6" s="2" t="s">
        <v>113</v>
      </c>
      <c r="BZ6" s="2">
        <v>9936</v>
      </c>
      <c r="CA6" s="2" t="s">
        <v>50</v>
      </c>
      <c r="CC6" s="2">
        <v>0.155</v>
      </c>
      <c r="CD6" s="2" t="s">
        <v>75</v>
      </c>
      <c r="CE6" s="2">
        <v>8352</v>
      </c>
      <c r="CF6" s="2" t="s">
        <v>50</v>
      </c>
      <c r="CH6" s="2">
        <v>15.019</v>
      </c>
      <c r="CI6" s="2" t="s">
        <v>207</v>
      </c>
      <c r="CJ6" s="2">
        <v>121968</v>
      </c>
      <c r="CK6" s="2" t="s">
        <v>11</v>
      </c>
      <c r="CM6" s="2">
        <v>5.6710000000000003</v>
      </c>
      <c r="CN6" s="2" t="s">
        <v>220</v>
      </c>
      <c r="CO6" s="2">
        <v>45528</v>
      </c>
      <c r="CP6" s="2" t="s">
        <v>13</v>
      </c>
      <c r="CR6" s="2">
        <v>4.9340000000000002</v>
      </c>
      <c r="CS6" s="2" t="s">
        <v>124</v>
      </c>
      <c r="CT6" s="2">
        <v>43008</v>
      </c>
      <c r="CU6" s="2" t="s">
        <v>13</v>
      </c>
      <c r="CW6" s="2">
        <v>4.8600000000000003</v>
      </c>
      <c r="CX6" s="2" t="s">
        <v>235</v>
      </c>
      <c r="CY6" s="2">
        <v>41046</v>
      </c>
      <c r="CZ6" s="2" t="s">
        <v>11</v>
      </c>
      <c r="DB6" s="2">
        <v>4.7690000000000001</v>
      </c>
      <c r="DC6" s="2" t="s">
        <v>242</v>
      </c>
      <c r="DD6" s="2">
        <v>41046</v>
      </c>
      <c r="DE6" s="2" t="s">
        <v>11</v>
      </c>
      <c r="DG6" s="2">
        <v>29.317</v>
      </c>
      <c r="DH6" s="2" t="s">
        <v>90</v>
      </c>
      <c r="DI6" s="2">
        <v>50692</v>
      </c>
      <c r="DJ6" s="2" t="s">
        <v>9</v>
      </c>
      <c r="DL6" s="2">
        <v>4.1900000000000004</v>
      </c>
      <c r="DM6" s="2" t="s">
        <v>235</v>
      </c>
      <c r="DN6" s="2">
        <v>37158</v>
      </c>
      <c r="DO6" s="2" t="s">
        <v>11</v>
      </c>
    </row>
    <row r="7" spans="1:119" x14ac:dyDescent="0.2">
      <c r="A7" s="2">
        <v>3.5550000000000002</v>
      </c>
      <c r="B7" s="2" t="s">
        <v>14</v>
      </c>
      <c r="C7" s="2">
        <v>50028</v>
      </c>
      <c r="D7" s="2" t="s">
        <v>15</v>
      </c>
      <c r="F7" s="2">
        <v>3.1829999999999998</v>
      </c>
      <c r="G7" s="2" t="s">
        <v>16</v>
      </c>
      <c r="H7" s="2">
        <v>72</v>
      </c>
      <c r="I7" s="2" t="s">
        <v>17</v>
      </c>
      <c r="K7" s="2">
        <v>3.0779999999999998</v>
      </c>
      <c r="L7" s="2" t="s">
        <v>14</v>
      </c>
      <c r="M7" s="2">
        <v>49638</v>
      </c>
      <c r="N7" s="2" t="s">
        <v>15</v>
      </c>
      <c r="P7" s="2">
        <v>2.5920000000000001</v>
      </c>
      <c r="Q7" s="2" t="s">
        <v>66</v>
      </c>
      <c r="R7" s="2">
        <v>26113</v>
      </c>
      <c r="S7" s="2" t="s">
        <v>13</v>
      </c>
      <c r="U7" s="2">
        <v>0.27800000000000002</v>
      </c>
      <c r="V7" s="2" t="s">
        <v>71</v>
      </c>
      <c r="W7" s="2">
        <v>3437</v>
      </c>
      <c r="X7" s="2" t="s">
        <v>34</v>
      </c>
      <c r="Z7" s="2">
        <v>0.26100000000000001</v>
      </c>
      <c r="AA7" s="2" t="s">
        <v>95</v>
      </c>
      <c r="AB7" s="2">
        <v>3047</v>
      </c>
      <c r="AC7" s="2" t="s">
        <v>34</v>
      </c>
      <c r="AE7" s="2">
        <v>0.26400000000000001</v>
      </c>
      <c r="AF7" s="2" t="s">
        <v>95</v>
      </c>
      <c r="AG7" s="2">
        <v>3047</v>
      </c>
      <c r="AH7" s="2" t="s">
        <v>34</v>
      </c>
      <c r="AJ7" s="2">
        <v>0.27400000000000002</v>
      </c>
      <c r="AK7" s="2" t="s">
        <v>111</v>
      </c>
      <c r="AL7" s="2">
        <v>3047</v>
      </c>
      <c r="AM7" s="2" t="s">
        <v>34</v>
      </c>
      <c r="AO7" s="2">
        <v>0.25</v>
      </c>
      <c r="AP7" s="2" t="s">
        <v>117</v>
      </c>
      <c r="AQ7" s="2">
        <v>3047</v>
      </c>
      <c r="AR7" s="2" t="s">
        <v>34</v>
      </c>
      <c r="AT7" s="2">
        <v>0.27200000000000002</v>
      </c>
      <c r="AU7" s="2" t="s">
        <v>117</v>
      </c>
      <c r="AV7" s="2">
        <v>3047</v>
      </c>
      <c r="AW7" s="2" t="s">
        <v>34</v>
      </c>
      <c r="AY7" s="2">
        <v>3.5999999999999997E-2</v>
      </c>
      <c r="AZ7" s="2" t="s">
        <v>135</v>
      </c>
      <c r="BA7" s="2">
        <v>1515</v>
      </c>
      <c r="BB7" s="2" t="s">
        <v>136</v>
      </c>
      <c r="BD7" s="2">
        <v>6.7000000000000004E-2</v>
      </c>
      <c r="BE7" s="2" t="s">
        <v>60</v>
      </c>
      <c r="BF7" s="2">
        <v>4032</v>
      </c>
      <c r="BG7" s="2" t="s">
        <v>50</v>
      </c>
      <c r="BI7" s="2">
        <v>6.8000000000000005E-2</v>
      </c>
      <c r="BJ7" s="2" t="s">
        <v>75</v>
      </c>
      <c r="BK7" s="2">
        <v>4032</v>
      </c>
      <c r="BL7" s="2" t="s">
        <v>50</v>
      </c>
      <c r="BN7" s="2">
        <v>0.33400000000000002</v>
      </c>
      <c r="BO7" s="2" t="s">
        <v>166</v>
      </c>
      <c r="BP7" s="2">
        <v>4030</v>
      </c>
      <c r="BQ7" s="2" t="s">
        <v>30</v>
      </c>
      <c r="BS7" s="2">
        <v>0.60199999999999998</v>
      </c>
      <c r="BT7" s="2" t="s">
        <v>177</v>
      </c>
      <c r="BU7" s="2">
        <v>6988</v>
      </c>
      <c r="BV7" s="2" t="s">
        <v>30</v>
      </c>
      <c r="BX7" s="2">
        <v>0.67900000000000005</v>
      </c>
      <c r="BY7" s="2" t="s">
        <v>192</v>
      </c>
      <c r="BZ7" s="2">
        <v>8038</v>
      </c>
      <c r="CA7" s="2" t="s">
        <v>30</v>
      </c>
      <c r="CC7" s="2">
        <v>0.63900000000000001</v>
      </c>
      <c r="CD7" s="2" t="s">
        <v>201</v>
      </c>
      <c r="CE7" s="2">
        <v>7336</v>
      </c>
      <c r="CF7" s="2" t="s">
        <v>30</v>
      </c>
      <c r="CH7" s="2">
        <v>0.14399999999999999</v>
      </c>
      <c r="CI7" s="2" t="s">
        <v>216</v>
      </c>
      <c r="CJ7" s="2">
        <v>8888</v>
      </c>
      <c r="CK7" s="2" t="s">
        <v>139</v>
      </c>
      <c r="CM7" s="2">
        <v>2.887</v>
      </c>
      <c r="CN7" s="2" t="s">
        <v>16</v>
      </c>
      <c r="CO7" s="2">
        <v>72</v>
      </c>
      <c r="CP7" s="2" t="s">
        <v>17</v>
      </c>
      <c r="CR7" s="2">
        <v>3.194</v>
      </c>
      <c r="CS7" s="2" t="s">
        <v>16</v>
      </c>
      <c r="CT7" s="2">
        <v>72</v>
      </c>
      <c r="CU7" s="2" t="s">
        <v>17</v>
      </c>
      <c r="CW7" s="2">
        <v>3.2549999999999999</v>
      </c>
      <c r="CX7" s="2" t="s">
        <v>16</v>
      </c>
      <c r="CY7" s="2">
        <v>72</v>
      </c>
      <c r="CZ7" s="2" t="s">
        <v>17</v>
      </c>
      <c r="DB7" s="2">
        <v>3.1560000000000001</v>
      </c>
      <c r="DC7" s="2" t="s">
        <v>16</v>
      </c>
      <c r="DD7" s="2">
        <v>72</v>
      </c>
      <c r="DE7" s="2" t="s">
        <v>17</v>
      </c>
      <c r="DG7" s="2">
        <v>15.971</v>
      </c>
      <c r="DH7" s="2" t="s">
        <v>225</v>
      </c>
      <c r="DI7" s="2">
        <v>8352</v>
      </c>
      <c r="DJ7" s="2" t="s">
        <v>238</v>
      </c>
      <c r="DL7" s="2">
        <v>3.0419999999999998</v>
      </c>
      <c r="DM7" s="2" t="s">
        <v>16</v>
      </c>
      <c r="DN7" s="2">
        <v>68</v>
      </c>
      <c r="DO7" s="2" t="s">
        <v>17</v>
      </c>
    </row>
    <row r="8" spans="1:119" x14ac:dyDescent="0.2">
      <c r="A8" s="2">
        <v>2.83</v>
      </c>
      <c r="B8" s="2" t="s">
        <v>16</v>
      </c>
      <c r="C8" s="2">
        <v>72</v>
      </c>
      <c r="D8" s="2" t="s">
        <v>17</v>
      </c>
      <c r="F8" s="2">
        <v>2.9710000000000001</v>
      </c>
      <c r="G8" s="2" t="s">
        <v>14</v>
      </c>
      <c r="H8" s="2">
        <v>50028</v>
      </c>
      <c r="I8" s="2" t="s">
        <v>15</v>
      </c>
      <c r="K8" s="2">
        <v>2.9249999999999998</v>
      </c>
      <c r="L8" s="2" t="s">
        <v>16</v>
      </c>
      <c r="M8" s="2">
        <v>71</v>
      </c>
      <c r="N8" s="2" t="s">
        <v>17</v>
      </c>
      <c r="P8" s="2">
        <v>1.887</v>
      </c>
      <c r="Q8" s="2" t="s">
        <v>67</v>
      </c>
      <c r="R8" s="2">
        <v>30588</v>
      </c>
      <c r="S8" s="2" t="s">
        <v>15</v>
      </c>
      <c r="U8" s="2">
        <v>0.253</v>
      </c>
      <c r="V8" s="2" t="s">
        <v>72</v>
      </c>
      <c r="W8" s="2">
        <v>3437</v>
      </c>
      <c r="X8" s="2" t="s">
        <v>38</v>
      </c>
      <c r="Z8" s="2">
        <v>0.23300000000000001</v>
      </c>
      <c r="AA8" s="2" t="s">
        <v>96</v>
      </c>
      <c r="AB8" s="2">
        <v>3047</v>
      </c>
      <c r="AC8" s="2" t="s">
        <v>38</v>
      </c>
      <c r="AE8" s="2">
        <v>0.23499999999999999</v>
      </c>
      <c r="AF8" s="2" t="s">
        <v>103</v>
      </c>
      <c r="AG8" s="2">
        <v>3047</v>
      </c>
      <c r="AH8" s="2" t="s">
        <v>38</v>
      </c>
      <c r="AJ8" s="2">
        <v>0.247</v>
      </c>
      <c r="AK8" s="2" t="s">
        <v>103</v>
      </c>
      <c r="AL8" s="2">
        <v>3047</v>
      </c>
      <c r="AM8" s="2" t="s">
        <v>38</v>
      </c>
      <c r="AO8" s="2">
        <v>0.23200000000000001</v>
      </c>
      <c r="AP8" s="2" t="s">
        <v>96</v>
      </c>
      <c r="AQ8" s="2">
        <v>3047</v>
      </c>
      <c r="AR8" s="2" t="s">
        <v>38</v>
      </c>
      <c r="AT8" s="2">
        <v>0.25600000000000001</v>
      </c>
      <c r="AU8" s="2" t="s">
        <v>103</v>
      </c>
      <c r="AV8" s="2">
        <v>3047</v>
      </c>
      <c r="AW8" s="2" t="s">
        <v>38</v>
      </c>
      <c r="AY8" s="2">
        <v>0.28199999999999997</v>
      </c>
      <c r="AZ8" s="2" t="s">
        <v>102</v>
      </c>
      <c r="BA8" s="2">
        <v>3334</v>
      </c>
      <c r="BB8" s="2" t="s">
        <v>30</v>
      </c>
      <c r="BD8" s="2">
        <v>0.26700000000000002</v>
      </c>
      <c r="BE8" s="2" t="s">
        <v>74</v>
      </c>
      <c r="BF8" s="2">
        <v>3334</v>
      </c>
      <c r="BG8" s="2" t="s">
        <v>30</v>
      </c>
      <c r="BI8" s="2">
        <v>0.26400000000000001</v>
      </c>
      <c r="BJ8" s="2" t="s">
        <v>102</v>
      </c>
      <c r="BK8" s="2">
        <v>3334</v>
      </c>
      <c r="BL8" s="2" t="s">
        <v>30</v>
      </c>
      <c r="BN8" s="2">
        <v>0.36199999999999999</v>
      </c>
      <c r="BO8" s="2" t="s">
        <v>164</v>
      </c>
      <c r="BP8" s="2">
        <v>3734</v>
      </c>
      <c r="BQ8" s="2" t="s">
        <v>37</v>
      </c>
      <c r="BS8" s="2">
        <v>0.55900000000000005</v>
      </c>
      <c r="BT8" s="2" t="s">
        <v>178</v>
      </c>
      <c r="BU8" s="2">
        <v>5918</v>
      </c>
      <c r="BV8" s="2" t="s">
        <v>37</v>
      </c>
      <c r="BX8" s="2">
        <v>0.74099999999999999</v>
      </c>
      <c r="BY8" s="2" t="s">
        <v>190</v>
      </c>
      <c r="BZ8" s="2">
        <v>7934</v>
      </c>
      <c r="CA8" s="2" t="s">
        <v>37</v>
      </c>
      <c r="CC8" s="2">
        <v>0.64600000000000002</v>
      </c>
      <c r="CD8" s="2" t="s">
        <v>199</v>
      </c>
      <c r="CE8" s="2">
        <v>6677</v>
      </c>
      <c r="CF8" s="2" t="s">
        <v>37</v>
      </c>
      <c r="CH8" s="2">
        <v>4.1849999999999996</v>
      </c>
      <c r="CI8" s="2" t="s">
        <v>210</v>
      </c>
      <c r="CJ8" s="2">
        <v>19292</v>
      </c>
      <c r="CK8" s="2" t="s">
        <v>21</v>
      </c>
      <c r="CM8" s="2">
        <v>2.21</v>
      </c>
      <c r="CN8" s="2" t="s">
        <v>66</v>
      </c>
      <c r="CO8" s="2">
        <v>26984</v>
      </c>
      <c r="CP8" s="2" t="s">
        <v>15</v>
      </c>
      <c r="CR8" s="2">
        <v>1.915</v>
      </c>
      <c r="CS8" s="2" t="s">
        <v>94</v>
      </c>
      <c r="CT8" s="2">
        <v>25214</v>
      </c>
      <c r="CU8" s="2" t="s">
        <v>15</v>
      </c>
      <c r="CW8" s="2">
        <v>1.873</v>
      </c>
      <c r="CX8" s="2" t="s">
        <v>94</v>
      </c>
      <c r="CY8" s="2">
        <v>25214</v>
      </c>
      <c r="CZ8" s="2" t="s">
        <v>15</v>
      </c>
      <c r="DB8" s="2">
        <v>1.88</v>
      </c>
      <c r="DC8" s="2" t="s">
        <v>94</v>
      </c>
      <c r="DD8" s="2">
        <v>25214</v>
      </c>
      <c r="DE8" s="2" t="s">
        <v>15</v>
      </c>
      <c r="DG8" s="2">
        <v>6.0670000000000002</v>
      </c>
      <c r="DH8" s="2" t="s">
        <v>253</v>
      </c>
      <c r="DI8" s="2">
        <v>51940</v>
      </c>
      <c r="DJ8" s="2" t="s">
        <v>13</v>
      </c>
      <c r="DL8" s="2">
        <v>1.637</v>
      </c>
      <c r="DM8" s="2" t="s">
        <v>94</v>
      </c>
      <c r="DN8" s="2">
        <v>23190</v>
      </c>
      <c r="DO8" s="2" t="s">
        <v>15</v>
      </c>
    </row>
    <row r="9" spans="1:119" x14ac:dyDescent="0.2">
      <c r="A9" s="2">
        <v>1.488</v>
      </c>
      <c r="B9" s="2" t="s">
        <v>18</v>
      </c>
      <c r="C9" s="2">
        <v>5693</v>
      </c>
      <c r="D9" s="2" t="s">
        <v>19</v>
      </c>
      <c r="F9" s="2">
        <v>1.3240000000000001</v>
      </c>
      <c r="G9" s="2" t="s">
        <v>18</v>
      </c>
      <c r="H9" s="2">
        <v>5693</v>
      </c>
      <c r="I9" s="2" t="s">
        <v>19</v>
      </c>
      <c r="K9" s="2">
        <v>1.2929999999999999</v>
      </c>
      <c r="L9" s="2" t="s">
        <v>18</v>
      </c>
      <c r="M9" s="2">
        <v>5649</v>
      </c>
      <c r="N9" s="2" t="s">
        <v>19</v>
      </c>
      <c r="P9" s="2">
        <v>1.1419999999999999</v>
      </c>
      <c r="Q9" s="2" t="s">
        <v>22</v>
      </c>
      <c r="R9" s="2">
        <v>48</v>
      </c>
      <c r="S9" s="2" t="s">
        <v>24</v>
      </c>
      <c r="U9" s="2">
        <v>0.28699999999999998</v>
      </c>
      <c r="V9" s="2" t="s">
        <v>74</v>
      </c>
      <c r="W9" s="2">
        <v>3334</v>
      </c>
      <c r="X9" s="2" t="s">
        <v>30</v>
      </c>
      <c r="Z9" s="2">
        <v>0.27400000000000002</v>
      </c>
      <c r="AA9" s="2" t="s">
        <v>74</v>
      </c>
      <c r="AB9" s="2">
        <v>3334</v>
      </c>
      <c r="AC9" s="2" t="s">
        <v>30</v>
      </c>
      <c r="AE9" s="2">
        <v>0.27800000000000002</v>
      </c>
      <c r="AF9" s="2" t="s">
        <v>102</v>
      </c>
      <c r="AG9" s="2">
        <v>3334</v>
      </c>
      <c r="AH9" s="2" t="s">
        <v>30</v>
      </c>
      <c r="AJ9" s="2">
        <v>0.29199999999999998</v>
      </c>
      <c r="AK9" s="2" t="s">
        <v>102</v>
      </c>
      <c r="AL9" s="2">
        <v>3334</v>
      </c>
      <c r="AM9" s="2" t="s">
        <v>30</v>
      </c>
      <c r="AO9" s="2">
        <v>0.26400000000000001</v>
      </c>
      <c r="AP9" s="2" t="s">
        <v>74</v>
      </c>
      <c r="AQ9" s="2">
        <v>3334</v>
      </c>
      <c r="AR9" s="2" t="s">
        <v>30</v>
      </c>
      <c r="AT9" s="2">
        <v>0.28899999999999998</v>
      </c>
      <c r="AU9" s="2" t="s">
        <v>102</v>
      </c>
      <c r="AV9" s="2">
        <v>3334</v>
      </c>
      <c r="AW9" s="2" t="s">
        <v>30</v>
      </c>
      <c r="AY9" s="2">
        <v>0.30499999999999999</v>
      </c>
      <c r="AZ9" s="2" t="s">
        <v>96</v>
      </c>
      <c r="BA9" s="2">
        <v>3047</v>
      </c>
      <c r="BB9" s="2" t="s">
        <v>37</v>
      </c>
      <c r="BD9" s="2">
        <v>0.28299999999999997</v>
      </c>
      <c r="BE9" s="2" t="s">
        <v>118</v>
      </c>
      <c r="BF9" s="2">
        <v>3047</v>
      </c>
      <c r="BG9" s="2" t="s">
        <v>37</v>
      </c>
      <c r="BI9" s="2">
        <v>0.27600000000000002</v>
      </c>
      <c r="BJ9" s="2" t="s">
        <v>96</v>
      </c>
      <c r="BK9" s="2">
        <v>3047</v>
      </c>
      <c r="BL9" s="2" t="s">
        <v>37</v>
      </c>
      <c r="BN9" s="2">
        <v>3.5000000000000003E-2</v>
      </c>
      <c r="BO9" s="2" t="s">
        <v>56</v>
      </c>
      <c r="BP9" s="2">
        <v>1632</v>
      </c>
      <c r="BQ9" s="2" t="s">
        <v>137</v>
      </c>
      <c r="BS9" s="2">
        <v>5.3999999999999999E-2</v>
      </c>
      <c r="BT9" s="2" t="s">
        <v>181</v>
      </c>
      <c r="BU9" s="2">
        <v>2448</v>
      </c>
      <c r="BV9" s="2" t="s">
        <v>137</v>
      </c>
      <c r="BX9" s="2">
        <v>6.4000000000000001E-2</v>
      </c>
      <c r="BY9" s="2" t="s">
        <v>194</v>
      </c>
      <c r="BZ9" s="2">
        <v>3312</v>
      </c>
      <c r="CA9" s="2" t="s">
        <v>137</v>
      </c>
      <c r="CC9" s="2">
        <v>6.2E-2</v>
      </c>
      <c r="CD9" s="2" t="s">
        <v>75</v>
      </c>
      <c r="CE9" s="2">
        <v>2784</v>
      </c>
      <c r="CF9" s="2" t="s">
        <v>137</v>
      </c>
      <c r="CH9" s="2">
        <v>0.159</v>
      </c>
      <c r="CI9" s="2" t="s">
        <v>60</v>
      </c>
      <c r="CJ9" s="2">
        <v>8352</v>
      </c>
      <c r="CK9" s="2" t="s">
        <v>50</v>
      </c>
      <c r="CM9" s="2">
        <v>1.724</v>
      </c>
      <c r="CN9" s="2" t="s">
        <v>221</v>
      </c>
      <c r="CO9" s="2">
        <v>7187</v>
      </c>
      <c r="CP9" s="2" t="s">
        <v>21</v>
      </c>
      <c r="CR9" s="2">
        <v>1.4650000000000001</v>
      </c>
      <c r="CS9" s="2" t="s">
        <v>81</v>
      </c>
      <c r="CT9" s="2">
        <v>6632</v>
      </c>
      <c r="CU9" s="2" t="s">
        <v>21</v>
      </c>
      <c r="CW9" s="2">
        <v>1.4770000000000001</v>
      </c>
      <c r="CX9" s="2" t="s">
        <v>81</v>
      </c>
      <c r="CY9" s="2">
        <v>6632</v>
      </c>
      <c r="CZ9" s="2" t="s">
        <v>21</v>
      </c>
      <c r="DB9" s="2">
        <v>1.4750000000000001</v>
      </c>
      <c r="DC9" s="2" t="s">
        <v>81</v>
      </c>
      <c r="DD9" s="2">
        <v>6632</v>
      </c>
      <c r="DE9" s="2" t="s">
        <v>21</v>
      </c>
      <c r="DG9" s="2">
        <v>4.9349999999999996</v>
      </c>
      <c r="DH9" s="2" t="s">
        <v>242</v>
      </c>
      <c r="DI9" s="2">
        <v>41046</v>
      </c>
      <c r="DJ9" s="2" t="s">
        <v>11</v>
      </c>
      <c r="DL9" s="2">
        <v>1.3169999999999999</v>
      </c>
      <c r="DM9" s="2" t="s">
        <v>81</v>
      </c>
      <c r="DN9" s="2">
        <v>6156</v>
      </c>
      <c r="DO9" s="2" t="s">
        <v>21</v>
      </c>
    </row>
    <row r="10" spans="1:119" x14ac:dyDescent="0.2">
      <c r="A10" s="2">
        <v>1.3280000000000001</v>
      </c>
      <c r="B10" s="2" t="s">
        <v>20</v>
      </c>
      <c r="C10" s="2">
        <v>5648</v>
      </c>
      <c r="D10" s="2" t="s">
        <v>21</v>
      </c>
      <c r="F10" s="2">
        <v>1.169</v>
      </c>
      <c r="G10" s="2" t="s">
        <v>20</v>
      </c>
      <c r="H10" s="2">
        <v>5648</v>
      </c>
      <c r="I10" s="2" t="s">
        <v>21</v>
      </c>
      <c r="K10" s="2">
        <v>1.169</v>
      </c>
      <c r="L10" s="2" t="s">
        <v>20</v>
      </c>
      <c r="M10" s="2">
        <v>5604</v>
      </c>
      <c r="N10" s="2" t="s">
        <v>21</v>
      </c>
      <c r="P10" s="2">
        <v>1.125</v>
      </c>
      <c r="Q10" s="2" t="s">
        <v>22</v>
      </c>
      <c r="R10" s="2">
        <v>48</v>
      </c>
      <c r="S10" s="2" t="s">
        <v>23</v>
      </c>
      <c r="U10" s="2">
        <v>0.27</v>
      </c>
      <c r="V10" s="2" t="s">
        <v>72</v>
      </c>
      <c r="W10" s="2">
        <v>3437</v>
      </c>
      <c r="X10" s="2" t="s">
        <v>36</v>
      </c>
      <c r="Z10" s="2">
        <v>0.246</v>
      </c>
      <c r="AA10" s="2" t="s">
        <v>96</v>
      </c>
      <c r="AB10" s="2">
        <v>3047</v>
      </c>
      <c r="AC10" s="2" t="s">
        <v>36</v>
      </c>
      <c r="AE10" s="2">
        <v>0.248</v>
      </c>
      <c r="AF10" s="2" t="s">
        <v>103</v>
      </c>
      <c r="AG10" s="2">
        <v>3047</v>
      </c>
      <c r="AH10" s="2" t="s">
        <v>36</v>
      </c>
      <c r="AJ10" s="2">
        <v>0.255</v>
      </c>
      <c r="AK10" s="2" t="s">
        <v>103</v>
      </c>
      <c r="AL10" s="2">
        <v>3047</v>
      </c>
      <c r="AM10" s="2" t="s">
        <v>36</v>
      </c>
      <c r="AO10" s="2">
        <v>0.23200000000000001</v>
      </c>
      <c r="AP10" s="2" t="s">
        <v>118</v>
      </c>
      <c r="AQ10" s="2">
        <v>3047</v>
      </c>
      <c r="AR10" s="2" t="s">
        <v>36</v>
      </c>
      <c r="AT10" s="2">
        <v>0.29699999999999999</v>
      </c>
      <c r="AU10" s="2" t="s">
        <v>103</v>
      </c>
      <c r="AV10" s="2">
        <v>3047</v>
      </c>
      <c r="AW10" s="2" t="s">
        <v>36</v>
      </c>
      <c r="AY10" s="2">
        <v>0.54500000000000004</v>
      </c>
      <c r="AZ10" s="2" t="s">
        <v>100</v>
      </c>
      <c r="BA10" s="2">
        <v>6094</v>
      </c>
      <c r="BB10" s="2" t="s">
        <v>26</v>
      </c>
      <c r="BD10" s="2">
        <v>0.52800000000000002</v>
      </c>
      <c r="BE10" s="2" t="s">
        <v>93</v>
      </c>
      <c r="BF10" s="2">
        <v>6094</v>
      </c>
      <c r="BG10" s="2" t="s">
        <v>26</v>
      </c>
      <c r="BI10" s="2">
        <v>0.51700000000000002</v>
      </c>
      <c r="BJ10" s="2" t="s">
        <v>100</v>
      </c>
      <c r="BK10" s="2">
        <v>6094</v>
      </c>
      <c r="BL10" s="2" t="s">
        <v>26</v>
      </c>
      <c r="BN10" s="2">
        <v>0.67100000000000004</v>
      </c>
      <c r="BO10" s="2" t="s">
        <v>162</v>
      </c>
      <c r="BP10" s="2">
        <v>7468</v>
      </c>
      <c r="BQ10" s="2" t="s">
        <v>26</v>
      </c>
      <c r="BS10" s="2">
        <v>1.0309999999999999</v>
      </c>
      <c r="BT10" s="2" t="s">
        <v>173</v>
      </c>
      <c r="BU10" s="2">
        <v>11836</v>
      </c>
      <c r="BV10" s="2" t="s">
        <v>26</v>
      </c>
      <c r="BX10" s="2">
        <v>1.355</v>
      </c>
      <c r="BY10" s="2" t="s">
        <v>188</v>
      </c>
      <c r="BZ10" s="2">
        <v>15868</v>
      </c>
      <c r="CA10" s="2" t="s">
        <v>26</v>
      </c>
      <c r="CC10" s="2">
        <v>1.167</v>
      </c>
      <c r="CD10" s="2" t="s">
        <v>198</v>
      </c>
      <c r="CE10" s="2">
        <v>13354</v>
      </c>
      <c r="CF10" s="2" t="s">
        <v>26</v>
      </c>
      <c r="CH10" s="2">
        <v>1.6439999999999999</v>
      </c>
      <c r="CI10" s="2" t="s">
        <v>67</v>
      </c>
      <c r="CJ10" s="2">
        <v>17776</v>
      </c>
      <c r="CK10" s="2" t="s">
        <v>30</v>
      </c>
      <c r="CM10" s="2">
        <v>1.347</v>
      </c>
      <c r="CN10" s="2" t="s">
        <v>222</v>
      </c>
      <c r="CO10" s="2">
        <v>14464</v>
      </c>
      <c r="CP10" s="2" t="s">
        <v>26</v>
      </c>
      <c r="CR10" s="2">
        <v>1.141</v>
      </c>
      <c r="CS10" s="2" t="s">
        <v>198</v>
      </c>
      <c r="CT10" s="2">
        <v>13354</v>
      </c>
      <c r="CU10" s="2" t="s">
        <v>26</v>
      </c>
      <c r="CW10" s="2">
        <v>1.1539999999999999</v>
      </c>
      <c r="CX10" s="2" t="s">
        <v>198</v>
      </c>
      <c r="CY10" s="2">
        <v>13354</v>
      </c>
      <c r="CZ10" s="2" t="s">
        <v>26</v>
      </c>
      <c r="DB10" s="2">
        <v>1.1619999999999999</v>
      </c>
      <c r="DC10" s="2" t="s">
        <v>198</v>
      </c>
      <c r="DD10" s="2">
        <v>13354</v>
      </c>
      <c r="DE10" s="2" t="s">
        <v>26</v>
      </c>
      <c r="DG10" s="2">
        <v>3.1619999999999999</v>
      </c>
      <c r="DH10" s="2" t="s">
        <v>16</v>
      </c>
      <c r="DI10" s="2">
        <v>72</v>
      </c>
      <c r="DJ10" s="2" t="s">
        <v>17</v>
      </c>
      <c r="DL10" s="2">
        <v>1.036</v>
      </c>
      <c r="DM10" s="2" t="s">
        <v>22</v>
      </c>
      <c r="DN10" s="2">
        <v>44</v>
      </c>
      <c r="DO10" s="2" t="s">
        <v>24</v>
      </c>
    </row>
    <row r="11" spans="1:119" x14ac:dyDescent="0.2">
      <c r="A11" s="2">
        <v>1.121</v>
      </c>
      <c r="B11" s="2" t="s">
        <v>22</v>
      </c>
      <c r="C11" s="2">
        <v>48</v>
      </c>
      <c r="D11" s="2" t="s">
        <v>23</v>
      </c>
      <c r="F11" s="2">
        <v>1.075</v>
      </c>
      <c r="G11" s="2" t="s">
        <v>22</v>
      </c>
      <c r="H11" s="2">
        <v>48</v>
      </c>
      <c r="I11" s="2" t="s">
        <v>24</v>
      </c>
      <c r="K11" s="2">
        <v>1.0109999999999999</v>
      </c>
      <c r="L11" s="2" t="s">
        <v>22</v>
      </c>
      <c r="M11" s="2">
        <v>47</v>
      </c>
      <c r="N11" s="2" t="s">
        <v>24</v>
      </c>
      <c r="P11" s="2">
        <v>0.81899999999999995</v>
      </c>
      <c r="Q11" s="2" t="s">
        <v>68</v>
      </c>
      <c r="R11" s="2">
        <v>3437</v>
      </c>
      <c r="S11" s="2" t="s">
        <v>19</v>
      </c>
      <c r="U11" s="2">
        <v>0.26700000000000002</v>
      </c>
      <c r="V11" s="2" t="s">
        <v>72</v>
      </c>
      <c r="W11" s="2">
        <v>3437</v>
      </c>
      <c r="X11" s="2" t="s">
        <v>37</v>
      </c>
      <c r="Z11" s="2">
        <v>0.24399999999999999</v>
      </c>
      <c r="AA11" s="2" t="s">
        <v>96</v>
      </c>
      <c r="AB11" s="2">
        <v>3047</v>
      </c>
      <c r="AC11" s="2" t="s">
        <v>37</v>
      </c>
      <c r="AE11" s="2">
        <v>0.26</v>
      </c>
      <c r="AF11" s="2" t="s">
        <v>103</v>
      </c>
      <c r="AG11" s="2">
        <v>3047</v>
      </c>
      <c r="AH11" s="2" t="s">
        <v>37</v>
      </c>
      <c r="AJ11" s="2">
        <v>0.27500000000000002</v>
      </c>
      <c r="AK11" s="2" t="s">
        <v>103</v>
      </c>
      <c r="AL11" s="2">
        <v>3047</v>
      </c>
      <c r="AM11" s="2" t="s">
        <v>37</v>
      </c>
      <c r="AO11" s="2">
        <v>0.247</v>
      </c>
      <c r="AP11" s="2" t="s">
        <v>118</v>
      </c>
      <c r="AQ11" s="2">
        <v>3047</v>
      </c>
      <c r="AR11" s="2" t="s">
        <v>37</v>
      </c>
      <c r="AT11" s="2">
        <v>0.28000000000000003</v>
      </c>
      <c r="AU11" s="2" t="s">
        <v>103</v>
      </c>
      <c r="AV11" s="2">
        <v>3047</v>
      </c>
      <c r="AW11" s="2" t="s">
        <v>37</v>
      </c>
      <c r="AY11" s="2">
        <v>0.88900000000000001</v>
      </c>
      <c r="AZ11" s="2" t="s">
        <v>143</v>
      </c>
      <c r="BA11" s="2">
        <v>12323</v>
      </c>
      <c r="BB11" s="2" t="s">
        <v>15</v>
      </c>
      <c r="BD11" s="2">
        <v>0.85399999999999998</v>
      </c>
      <c r="BE11" s="2" t="s">
        <v>143</v>
      </c>
      <c r="BF11" s="2">
        <v>12323</v>
      </c>
      <c r="BG11" s="2" t="s">
        <v>15</v>
      </c>
      <c r="BI11" s="2">
        <v>0.83299999999999996</v>
      </c>
      <c r="BJ11" s="2" t="s">
        <v>143</v>
      </c>
      <c r="BK11" s="2">
        <v>12323</v>
      </c>
      <c r="BL11" s="2" t="s">
        <v>15</v>
      </c>
      <c r="BN11" s="2">
        <v>1.085</v>
      </c>
      <c r="BO11" s="2" t="s">
        <v>160</v>
      </c>
      <c r="BP11" s="2">
        <v>14732</v>
      </c>
      <c r="BQ11" s="2" t="s">
        <v>15</v>
      </c>
      <c r="BS11" s="2">
        <v>1.6850000000000001</v>
      </c>
      <c r="BT11" s="2" t="s">
        <v>171</v>
      </c>
      <c r="BU11" s="2">
        <v>22763</v>
      </c>
      <c r="BV11" s="2" t="s">
        <v>15</v>
      </c>
      <c r="BX11" s="2">
        <v>2.1829999999999998</v>
      </c>
      <c r="BY11" s="2" t="s">
        <v>66</v>
      </c>
      <c r="BZ11" s="2">
        <v>29336</v>
      </c>
      <c r="CA11" s="2" t="s">
        <v>15</v>
      </c>
      <c r="CC11" s="2">
        <v>1.917</v>
      </c>
      <c r="CD11" s="2" t="s">
        <v>94</v>
      </c>
      <c r="CE11" s="2">
        <v>25214</v>
      </c>
      <c r="CF11" s="2" t="s">
        <v>15</v>
      </c>
      <c r="CH11" s="2">
        <v>1.843</v>
      </c>
      <c r="CI11" s="2" t="s">
        <v>82</v>
      </c>
      <c r="CJ11" s="2">
        <v>19337</v>
      </c>
      <c r="CK11" s="2" t="s">
        <v>37</v>
      </c>
      <c r="CM11" s="2">
        <v>1.179</v>
      </c>
      <c r="CN11" s="2" t="s">
        <v>124</v>
      </c>
      <c r="CO11" s="2">
        <v>7232</v>
      </c>
      <c r="CP11" s="2" t="s">
        <v>19</v>
      </c>
      <c r="CR11" s="2">
        <v>1.117</v>
      </c>
      <c r="CS11" s="2" t="s">
        <v>22</v>
      </c>
      <c r="CT11" s="2">
        <v>48</v>
      </c>
      <c r="CU11" s="2" t="s">
        <v>23</v>
      </c>
      <c r="CW11" s="2">
        <v>1.1200000000000001</v>
      </c>
      <c r="CX11" s="2" t="s">
        <v>22</v>
      </c>
      <c r="CY11" s="2">
        <v>48</v>
      </c>
      <c r="CZ11" s="2" t="s">
        <v>23</v>
      </c>
      <c r="DB11" s="2">
        <v>1.081</v>
      </c>
      <c r="DC11" s="2" t="s">
        <v>124</v>
      </c>
      <c r="DD11" s="2">
        <v>6677</v>
      </c>
      <c r="DE11" s="2" t="s">
        <v>19</v>
      </c>
      <c r="DG11" s="2">
        <v>2.06</v>
      </c>
      <c r="DH11" s="2" t="s">
        <v>66</v>
      </c>
      <c r="DI11" s="2">
        <v>31891</v>
      </c>
      <c r="DJ11" s="2" t="s">
        <v>15</v>
      </c>
      <c r="DL11" s="2">
        <v>1.0269999999999999</v>
      </c>
      <c r="DM11" s="2" t="s">
        <v>22</v>
      </c>
      <c r="DN11" s="2">
        <v>44</v>
      </c>
      <c r="DO11" s="2" t="s">
        <v>23</v>
      </c>
    </row>
    <row r="12" spans="1:119" x14ac:dyDescent="0.2">
      <c r="A12" s="2">
        <v>1.1040000000000001</v>
      </c>
      <c r="B12" s="2" t="s">
        <v>22</v>
      </c>
      <c r="C12" s="2">
        <v>48</v>
      </c>
      <c r="D12" s="2" t="s">
        <v>24</v>
      </c>
      <c r="F12" s="2">
        <v>1.0329999999999999</v>
      </c>
      <c r="G12" s="2" t="s">
        <v>22</v>
      </c>
      <c r="H12" s="2">
        <v>48</v>
      </c>
      <c r="I12" s="2" t="s">
        <v>23</v>
      </c>
      <c r="K12" s="2">
        <v>0.99399999999999999</v>
      </c>
      <c r="L12" s="2" t="s">
        <v>22</v>
      </c>
      <c r="M12" s="2">
        <v>47</v>
      </c>
      <c r="N12" s="2" t="s">
        <v>23</v>
      </c>
      <c r="P12" s="2">
        <v>0.71399999999999997</v>
      </c>
      <c r="Q12" s="2" t="s">
        <v>12</v>
      </c>
      <c r="R12" s="2">
        <v>3392</v>
      </c>
      <c r="S12" s="2" t="s">
        <v>21</v>
      </c>
      <c r="U12" s="2">
        <v>6.7000000000000004E-2</v>
      </c>
      <c r="V12" s="2" t="s">
        <v>87</v>
      </c>
      <c r="W12" s="2">
        <v>3437</v>
      </c>
      <c r="X12" s="2" t="s">
        <v>46</v>
      </c>
      <c r="Z12" s="2">
        <v>6.5000000000000002E-2</v>
      </c>
      <c r="AA12" s="2" t="s">
        <v>98</v>
      </c>
      <c r="AB12" s="2">
        <v>3047</v>
      </c>
      <c r="AC12" s="2" t="s">
        <v>46</v>
      </c>
      <c r="AE12" s="2">
        <v>7.0999999999999994E-2</v>
      </c>
      <c r="AF12" s="2" t="s">
        <v>106</v>
      </c>
      <c r="AG12" s="2">
        <v>3047</v>
      </c>
      <c r="AH12" s="2" t="s">
        <v>46</v>
      </c>
      <c r="AJ12" s="2">
        <v>6.6000000000000003E-2</v>
      </c>
      <c r="AK12" s="2" t="s">
        <v>106</v>
      </c>
      <c r="AL12" s="2">
        <v>3047</v>
      </c>
      <c r="AM12" s="2" t="s">
        <v>46</v>
      </c>
      <c r="AO12" s="2">
        <v>5.8999999999999997E-2</v>
      </c>
      <c r="AP12" s="2" t="s">
        <v>98</v>
      </c>
      <c r="AQ12" s="2">
        <v>3047</v>
      </c>
      <c r="AR12" s="2" t="s">
        <v>46</v>
      </c>
      <c r="AT12" s="2">
        <v>6.7000000000000004E-2</v>
      </c>
      <c r="AU12" s="2" t="s">
        <v>106</v>
      </c>
      <c r="AV12" s="2">
        <v>3047</v>
      </c>
      <c r="AW12" s="2" t="s">
        <v>46</v>
      </c>
      <c r="AY12" s="2">
        <v>2.2679999999999998</v>
      </c>
      <c r="AZ12" s="2" t="s">
        <v>16</v>
      </c>
      <c r="BA12" s="2">
        <v>18849</v>
      </c>
      <c r="BB12" s="2" t="s">
        <v>13</v>
      </c>
      <c r="BD12" s="2">
        <v>2.085</v>
      </c>
      <c r="BE12" s="2" t="s">
        <v>16</v>
      </c>
      <c r="BF12" s="2">
        <v>18849</v>
      </c>
      <c r="BG12" s="2" t="s">
        <v>13</v>
      </c>
      <c r="BI12" s="2">
        <v>2.0579999999999998</v>
      </c>
      <c r="BJ12" s="2" t="s">
        <v>16</v>
      </c>
      <c r="BK12" s="2">
        <v>18849</v>
      </c>
      <c r="BL12" s="2" t="s">
        <v>13</v>
      </c>
      <c r="BN12" s="2">
        <v>2.66</v>
      </c>
      <c r="BO12" s="2" t="s">
        <v>27</v>
      </c>
      <c r="BP12" s="2">
        <v>23088</v>
      </c>
      <c r="BQ12" s="2" t="s">
        <v>13</v>
      </c>
      <c r="BS12" s="2">
        <v>4.6500000000000004</v>
      </c>
      <c r="BT12" s="2" t="s">
        <v>169</v>
      </c>
      <c r="BU12" s="2">
        <v>40323</v>
      </c>
      <c r="BV12" s="2" t="s">
        <v>13</v>
      </c>
      <c r="BX12" s="2">
        <v>5.3550000000000004</v>
      </c>
      <c r="BY12" s="2" t="s">
        <v>186</v>
      </c>
      <c r="BZ12" s="2">
        <v>48024</v>
      </c>
      <c r="CA12" s="2" t="s">
        <v>13</v>
      </c>
      <c r="CC12" s="2">
        <v>5.0469999999999997</v>
      </c>
      <c r="CD12" s="2" t="s">
        <v>124</v>
      </c>
      <c r="CE12" s="2">
        <v>43008</v>
      </c>
      <c r="CF12" s="2" t="s">
        <v>13</v>
      </c>
      <c r="CH12" s="2">
        <v>3.4790000000000001</v>
      </c>
      <c r="CI12" s="2" t="s">
        <v>211</v>
      </c>
      <c r="CJ12" s="2">
        <v>38674</v>
      </c>
      <c r="CK12" s="2" t="s">
        <v>26</v>
      </c>
      <c r="CM12" s="2">
        <v>1.147</v>
      </c>
      <c r="CN12" s="2" t="s">
        <v>22</v>
      </c>
      <c r="CO12" s="2">
        <v>48</v>
      </c>
      <c r="CP12" s="2" t="s">
        <v>24</v>
      </c>
      <c r="CR12" s="2">
        <v>1.1100000000000001</v>
      </c>
      <c r="CS12" s="2" t="s">
        <v>22</v>
      </c>
      <c r="CT12" s="2">
        <v>48</v>
      </c>
      <c r="CU12" s="2" t="s">
        <v>24</v>
      </c>
      <c r="CW12" s="2">
        <v>1.1140000000000001</v>
      </c>
      <c r="CX12" s="2" t="s">
        <v>22</v>
      </c>
      <c r="CY12" s="2">
        <v>48</v>
      </c>
      <c r="CZ12" s="2" t="s">
        <v>24</v>
      </c>
      <c r="DB12" s="2">
        <v>1.077</v>
      </c>
      <c r="DC12" s="2" t="s">
        <v>22</v>
      </c>
      <c r="DD12" s="2">
        <v>48</v>
      </c>
      <c r="DE12" s="2" t="s">
        <v>23</v>
      </c>
      <c r="DG12" s="2">
        <v>1.4890000000000001</v>
      </c>
      <c r="DH12" s="2" t="s">
        <v>81</v>
      </c>
      <c r="DI12" s="2">
        <v>6632</v>
      </c>
      <c r="DJ12" s="2" t="s">
        <v>21</v>
      </c>
      <c r="DL12" s="2">
        <v>1.0169999999999999</v>
      </c>
      <c r="DM12" s="2" t="s">
        <v>198</v>
      </c>
      <c r="DN12" s="2">
        <v>12402</v>
      </c>
      <c r="DO12" s="2" t="s">
        <v>26</v>
      </c>
    </row>
    <row r="13" spans="1:119" x14ac:dyDescent="0.2">
      <c r="A13" s="2">
        <v>1.0760000000000001</v>
      </c>
      <c r="B13" s="2" t="s">
        <v>25</v>
      </c>
      <c r="C13" s="2">
        <v>11296</v>
      </c>
      <c r="D13" s="2" t="s">
        <v>26</v>
      </c>
      <c r="F13" s="2">
        <v>0.90600000000000003</v>
      </c>
      <c r="G13" s="2" t="s">
        <v>53</v>
      </c>
      <c r="H13" s="2">
        <v>11296</v>
      </c>
      <c r="I13" s="2" t="s">
        <v>26</v>
      </c>
      <c r="K13" s="2">
        <v>0.94199999999999995</v>
      </c>
      <c r="L13" s="2" t="s">
        <v>53</v>
      </c>
      <c r="M13" s="2">
        <v>11208</v>
      </c>
      <c r="N13" s="2" t="s">
        <v>26</v>
      </c>
      <c r="P13" s="2">
        <v>0.59</v>
      </c>
      <c r="Q13" s="2" t="s">
        <v>69</v>
      </c>
      <c r="R13" s="2">
        <v>6784</v>
      </c>
      <c r="S13" s="2" t="s">
        <v>26</v>
      </c>
      <c r="U13" s="2">
        <v>0.57899999999999996</v>
      </c>
      <c r="V13" s="2" t="s">
        <v>83</v>
      </c>
      <c r="W13" s="2">
        <v>6784</v>
      </c>
      <c r="X13" s="2" t="s">
        <v>26</v>
      </c>
      <c r="Z13" s="2">
        <v>0.53600000000000003</v>
      </c>
      <c r="AA13" s="2" t="s">
        <v>93</v>
      </c>
      <c r="AB13" s="2">
        <v>6004</v>
      </c>
      <c r="AC13" s="2" t="s">
        <v>26</v>
      </c>
      <c r="AE13" s="2">
        <v>0.53200000000000003</v>
      </c>
      <c r="AF13" s="2" t="s">
        <v>100</v>
      </c>
      <c r="AG13" s="2">
        <v>6004</v>
      </c>
      <c r="AH13" s="2" t="s">
        <v>26</v>
      </c>
      <c r="AJ13" s="2">
        <v>0.55200000000000005</v>
      </c>
      <c r="AK13" s="2" t="s">
        <v>110</v>
      </c>
      <c r="AL13" s="2">
        <v>6004</v>
      </c>
      <c r="AM13" s="2" t="s">
        <v>26</v>
      </c>
      <c r="AO13" s="2">
        <v>0.51200000000000001</v>
      </c>
      <c r="AP13" s="2" t="s">
        <v>93</v>
      </c>
      <c r="AQ13" s="2">
        <v>6004</v>
      </c>
      <c r="AR13" s="2" t="s">
        <v>26</v>
      </c>
      <c r="AT13" s="2">
        <v>0.55100000000000005</v>
      </c>
      <c r="AU13" s="2" t="s">
        <v>93</v>
      </c>
      <c r="AV13" s="2">
        <v>6004</v>
      </c>
      <c r="AW13" s="2" t="s">
        <v>26</v>
      </c>
      <c r="AY13" s="2">
        <v>0.35799999999999998</v>
      </c>
      <c r="AZ13" s="2" t="s">
        <v>70</v>
      </c>
      <c r="BA13" s="2">
        <v>1892</v>
      </c>
      <c r="BB13" s="2" t="s">
        <v>28</v>
      </c>
      <c r="BD13" s="2">
        <v>0.308</v>
      </c>
      <c r="BE13" s="2" t="s">
        <v>70</v>
      </c>
      <c r="BF13" s="2">
        <v>1892</v>
      </c>
      <c r="BG13" s="2" t="s">
        <v>28</v>
      </c>
      <c r="BI13" s="2">
        <v>0.318</v>
      </c>
      <c r="BJ13" s="2" t="s">
        <v>70</v>
      </c>
      <c r="BK13" s="2">
        <v>1892</v>
      </c>
      <c r="BL13" s="2" t="s">
        <v>28</v>
      </c>
      <c r="BN13" s="2">
        <v>0.41</v>
      </c>
      <c r="BO13" s="2" t="s">
        <v>163</v>
      </c>
      <c r="BP13" s="2">
        <v>2345</v>
      </c>
      <c r="BQ13" s="2" t="s">
        <v>28</v>
      </c>
      <c r="BS13" s="2">
        <v>0.747</v>
      </c>
      <c r="BT13" s="2" t="s">
        <v>175</v>
      </c>
      <c r="BU13" s="2">
        <v>4259</v>
      </c>
      <c r="BV13" s="2" t="s">
        <v>28</v>
      </c>
      <c r="BX13" s="2">
        <v>0.81499999999999995</v>
      </c>
      <c r="BY13" s="2" t="s">
        <v>12</v>
      </c>
      <c r="BZ13" s="2">
        <v>5024</v>
      </c>
      <c r="CA13" s="2" t="s">
        <v>28</v>
      </c>
      <c r="CC13" s="2">
        <v>0.82</v>
      </c>
      <c r="CD13" s="2" t="s">
        <v>40</v>
      </c>
      <c r="CE13" s="2">
        <v>4523</v>
      </c>
      <c r="CF13" s="2" t="s">
        <v>28</v>
      </c>
      <c r="CH13" s="2">
        <v>5.6539999999999999</v>
      </c>
      <c r="CI13" s="2" t="s">
        <v>209</v>
      </c>
      <c r="CJ13" s="2">
        <v>68414</v>
      </c>
      <c r="CK13" s="2" t="s">
        <v>15</v>
      </c>
      <c r="CM13" s="2">
        <v>1.145</v>
      </c>
      <c r="CN13" s="2" t="s">
        <v>22</v>
      </c>
      <c r="CO13" s="2">
        <v>48</v>
      </c>
      <c r="CP13" s="2" t="s">
        <v>23</v>
      </c>
      <c r="CR13" s="2">
        <v>0.999</v>
      </c>
      <c r="CS13" s="2" t="s">
        <v>142</v>
      </c>
      <c r="CT13" s="2">
        <v>6677</v>
      </c>
      <c r="CU13" s="2" t="s">
        <v>19</v>
      </c>
      <c r="CW13" s="2">
        <v>1.077</v>
      </c>
      <c r="CX13" s="2" t="s">
        <v>124</v>
      </c>
      <c r="CY13" s="2">
        <v>6677</v>
      </c>
      <c r="CZ13" s="2" t="s">
        <v>19</v>
      </c>
      <c r="DB13" s="2">
        <v>1.0740000000000001</v>
      </c>
      <c r="DC13" s="2" t="s">
        <v>22</v>
      </c>
      <c r="DD13" s="2">
        <v>48</v>
      </c>
      <c r="DE13" s="2" t="s">
        <v>24</v>
      </c>
      <c r="DG13" s="2">
        <v>1.381</v>
      </c>
      <c r="DH13" s="2" t="s">
        <v>254</v>
      </c>
      <c r="DI13" s="2">
        <v>13354</v>
      </c>
      <c r="DJ13" s="2" t="s">
        <v>237</v>
      </c>
      <c r="DL13" s="2">
        <v>0.96199999999999997</v>
      </c>
      <c r="DM13" s="2" t="s">
        <v>124</v>
      </c>
      <c r="DN13" s="2">
        <v>6201</v>
      </c>
      <c r="DO13" s="2" t="s">
        <v>19</v>
      </c>
    </row>
    <row r="14" spans="1:119" x14ac:dyDescent="0.2">
      <c r="A14" s="2">
        <v>0.64400000000000002</v>
      </c>
      <c r="B14" s="2" t="s">
        <v>27</v>
      </c>
      <c r="C14" s="2">
        <v>3569</v>
      </c>
      <c r="D14" s="2" t="s">
        <v>28</v>
      </c>
      <c r="F14" s="2">
        <v>0.60499999999999998</v>
      </c>
      <c r="G14" s="2" t="s">
        <v>27</v>
      </c>
      <c r="H14" s="2">
        <v>3569</v>
      </c>
      <c r="I14" s="2" t="s">
        <v>28</v>
      </c>
      <c r="K14" s="2">
        <v>0.60299999999999998</v>
      </c>
      <c r="L14" s="2" t="s">
        <v>27</v>
      </c>
      <c r="M14" s="2">
        <v>3561</v>
      </c>
      <c r="N14" s="2" t="s">
        <v>28</v>
      </c>
      <c r="P14" s="2">
        <v>0.32400000000000001</v>
      </c>
      <c r="Q14" s="2" t="s">
        <v>70</v>
      </c>
      <c r="R14" s="2">
        <v>1892</v>
      </c>
      <c r="S14" s="2" t="s">
        <v>28</v>
      </c>
      <c r="U14" s="2">
        <v>1.877</v>
      </c>
      <c r="V14" s="2" t="s">
        <v>67</v>
      </c>
      <c r="W14" s="2">
        <v>30588</v>
      </c>
      <c r="X14" s="2" t="s">
        <v>15</v>
      </c>
      <c r="Z14" s="2">
        <v>1.7310000000000001</v>
      </c>
      <c r="AA14" s="2" t="s">
        <v>92</v>
      </c>
      <c r="AB14" s="2">
        <v>27468</v>
      </c>
      <c r="AC14" s="2" t="s">
        <v>15</v>
      </c>
      <c r="AE14" s="2">
        <v>1.228</v>
      </c>
      <c r="AF14" s="2" t="s">
        <v>99</v>
      </c>
      <c r="AG14" s="2">
        <v>18327</v>
      </c>
      <c r="AH14" s="2" t="s">
        <v>15</v>
      </c>
      <c r="AJ14" s="2">
        <v>1.276</v>
      </c>
      <c r="AK14" s="2" t="s">
        <v>109</v>
      </c>
      <c r="AL14" s="2">
        <v>18327</v>
      </c>
      <c r="AM14" s="2" t="s">
        <v>15</v>
      </c>
      <c r="AO14" s="2">
        <v>1.1559999999999999</v>
      </c>
      <c r="AP14" s="2" t="s">
        <v>99</v>
      </c>
      <c r="AQ14" s="2">
        <v>18327</v>
      </c>
      <c r="AR14" s="2" t="s">
        <v>15</v>
      </c>
      <c r="AT14" s="2">
        <v>1.234</v>
      </c>
      <c r="AU14" s="2" t="s">
        <v>99</v>
      </c>
      <c r="AV14" s="2">
        <v>18327</v>
      </c>
      <c r="AW14" s="2" t="s">
        <v>15</v>
      </c>
      <c r="AY14" s="2">
        <v>5.3999999999999999E-2</v>
      </c>
      <c r="AZ14" s="2" t="s">
        <v>60</v>
      </c>
      <c r="BA14" s="2">
        <v>2592</v>
      </c>
      <c r="BB14" s="2" t="s">
        <v>131</v>
      </c>
      <c r="BD14" s="2">
        <v>4.4999999999999998E-2</v>
      </c>
      <c r="BE14" s="2" t="s">
        <v>150</v>
      </c>
      <c r="BF14" s="2">
        <v>2592</v>
      </c>
      <c r="BG14" s="2" t="s">
        <v>131</v>
      </c>
      <c r="BI14" s="2">
        <v>4.2999999999999997E-2</v>
      </c>
      <c r="BJ14" s="2" t="s">
        <v>154</v>
      </c>
      <c r="BK14" s="2">
        <v>2592</v>
      </c>
      <c r="BL14" s="2" t="s">
        <v>131</v>
      </c>
      <c r="BN14" s="2">
        <v>5.8000000000000003E-2</v>
      </c>
      <c r="BO14" s="2" t="s">
        <v>60</v>
      </c>
      <c r="BP14" s="2">
        <v>3168</v>
      </c>
      <c r="BQ14" s="2" t="s">
        <v>131</v>
      </c>
      <c r="BS14" s="2">
        <v>0.108</v>
      </c>
      <c r="BT14" s="2" t="s">
        <v>150</v>
      </c>
      <c r="BU14" s="2">
        <v>5616</v>
      </c>
      <c r="BV14" s="2" t="s">
        <v>131</v>
      </c>
      <c r="BX14" s="2">
        <v>0.106</v>
      </c>
      <c r="BY14" s="2" t="s">
        <v>193</v>
      </c>
      <c r="BZ14" s="2">
        <v>6336</v>
      </c>
      <c r="CA14" s="2" t="s">
        <v>131</v>
      </c>
      <c r="CC14" s="2">
        <v>0.11799999999999999</v>
      </c>
      <c r="CD14" s="2" t="s">
        <v>47</v>
      </c>
      <c r="CE14" s="2">
        <v>5904</v>
      </c>
      <c r="CF14" s="2" t="s">
        <v>131</v>
      </c>
      <c r="CH14" s="2">
        <v>13.278</v>
      </c>
      <c r="CI14" s="2" t="s">
        <v>208</v>
      </c>
      <c r="CJ14" s="2">
        <v>112248</v>
      </c>
      <c r="CK14" s="2" t="s">
        <v>13</v>
      </c>
      <c r="CM14" s="2">
        <v>0.93400000000000005</v>
      </c>
      <c r="CN14" s="2" t="s">
        <v>142</v>
      </c>
      <c r="CO14" s="2">
        <v>4883</v>
      </c>
      <c r="CP14" s="2" t="s">
        <v>28</v>
      </c>
      <c r="CR14" s="2">
        <v>0.79900000000000004</v>
      </c>
      <c r="CS14" s="2" t="s">
        <v>40</v>
      </c>
      <c r="CT14" s="2">
        <v>4523</v>
      </c>
      <c r="CU14" s="2" t="s">
        <v>28</v>
      </c>
      <c r="CW14" s="2">
        <v>0.82399999999999995</v>
      </c>
      <c r="CX14" s="2" t="s">
        <v>40</v>
      </c>
      <c r="CY14" s="2">
        <v>4523</v>
      </c>
      <c r="CZ14" s="2" t="s">
        <v>28</v>
      </c>
      <c r="DB14" s="2">
        <v>0.78</v>
      </c>
      <c r="DC14" s="2" t="s">
        <v>40</v>
      </c>
      <c r="DD14" s="2">
        <v>4523</v>
      </c>
      <c r="DE14" s="2" t="s">
        <v>28</v>
      </c>
      <c r="DG14" s="2">
        <v>1.2050000000000001</v>
      </c>
      <c r="DH14" s="2" t="s">
        <v>198</v>
      </c>
      <c r="DI14" s="2">
        <v>13354</v>
      </c>
      <c r="DJ14" s="2" t="s">
        <v>26</v>
      </c>
      <c r="DL14" s="2">
        <v>0.69199999999999995</v>
      </c>
      <c r="DM14" s="2" t="s">
        <v>40</v>
      </c>
      <c r="DN14" s="2">
        <v>4047</v>
      </c>
      <c r="DO14" s="2" t="s">
        <v>28</v>
      </c>
    </row>
    <row r="15" spans="1:119" x14ac:dyDescent="0.2">
      <c r="A15" s="2">
        <v>0.54300000000000004</v>
      </c>
      <c r="B15" s="2" t="s">
        <v>29</v>
      </c>
      <c r="C15" s="2">
        <v>6118</v>
      </c>
      <c r="D15" s="2" t="s">
        <v>30</v>
      </c>
      <c r="F15" s="2">
        <v>0.497</v>
      </c>
      <c r="G15" s="2" t="s">
        <v>31</v>
      </c>
      <c r="H15" s="2">
        <v>6118</v>
      </c>
      <c r="I15" s="2" t="s">
        <v>32</v>
      </c>
      <c r="K15" s="2">
        <v>0.5</v>
      </c>
      <c r="L15" s="2" t="s">
        <v>31</v>
      </c>
      <c r="M15" s="2">
        <v>6102</v>
      </c>
      <c r="N15" s="2" t="s">
        <v>32</v>
      </c>
      <c r="P15" s="2">
        <v>0.28000000000000003</v>
      </c>
      <c r="Q15" s="2" t="s">
        <v>71</v>
      </c>
      <c r="R15" s="2">
        <v>3437</v>
      </c>
      <c r="S15" s="2" t="s">
        <v>34</v>
      </c>
      <c r="U15" s="2">
        <v>3.1059999999999999</v>
      </c>
      <c r="V15" s="2" t="s">
        <v>82</v>
      </c>
      <c r="W15" s="2">
        <v>29505</v>
      </c>
      <c r="X15" s="2" t="s">
        <v>13</v>
      </c>
      <c r="Z15" s="2">
        <v>2.9590000000000001</v>
      </c>
      <c r="AA15" s="2" t="s">
        <v>27</v>
      </c>
      <c r="AB15" s="2">
        <v>27945</v>
      </c>
      <c r="AC15" s="2" t="s">
        <v>13</v>
      </c>
      <c r="AE15" s="2">
        <v>3.07</v>
      </c>
      <c r="AF15" s="2" t="s">
        <v>27</v>
      </c>
      <c r="AG15" s="2">
        <v>27945</v>
      </c>
      <c r="AH15" s="2" t="s">
        <v>13</v>
      </c>
      <c r="AJ15" s="2">
        <v>3.2370000000000001</v>
      </c>
      <c r="AK15" s="2" t="s">
        <v>27</v>
      </c>
      <c r="AL15" s="2">
        <v>27945</v>
      </c>
      <c r="AM15" s="2" t="s">
        <v>13</v>
      </c>
      <c r="AO15" s="2">
        <v>2.875</v>
      </c>
      <c r="AP15" s="2" t="s">
        <v>27</v>
      </c>
      <c r="AQ15" s="2">
        <v>27945</v>
      </c>
      <c r="AR15" s="2" t="s">
        <v>13</v>
      </c>
      <c r="AT15" s="2">
        <v>2.8620000000000001</v>
      </c>
      <c r="AU15" s="2" t="s">
        <v>67</v>
      </c>
      <c r="AV15" s="2">
        <v>24898</v>
      </c>
      <c r="AW15" s="2" t="s">
        <v>13</v>
      </c>
      <c r="AY15" s="2">
        <v>0.29299999999999998</v>
      </c>
      <c r="AZ15" s="2" t="s">
        <v>85</v>
      </c>
      <c r="BA15" s="2">
        <v>3334</v>
      </c>
      <c r="BB15" s="2" t="s">
        <v>32</v>
      </c>
      <c r="BD15" s="2">
        <v>0.27100000000000002</v>
      </c>
      <c r="BE15" s="2" t="s">
        <v>85</v>
      </c>
      <c r="BF15" s="2">
        <v>3334</v>
      </c>
      <c r="BG15" s="2" t="s">
        <v>32</v>
      </c>
      <c r="BI15" s="2">
        <v>0.27</v>
      </c>
      <c r="BJ15" s="2" t="s">
        <v>85</v>
      </c>
      <c r="BK15" s="2">
        <v>3334</v>
      </c>
      <c r="BL15" s="2" t="s">
        <v>32</v>
      </c>
      <c r="BN15" s="2">
        <v>0.33800000000000002</v>
      </c>
      <c r="BO15" s="2" t="s">
        <v>165</v>
      </c>
      <c r="BP15" s="2">
        <v>4030</v>
      </c>
      <c r="BQ15" s="2" t="s">
        <v>32</v>
      </c>
      <c r="BS15" s="2">
        <v>0.61299999999999999</v>
      </c>
      <c r="BT15" s="2" t="s">
        <v>176</v>
      </c>
      <c r="BU15" s="2">
        <v>6988</v>
      </c>
      <c r="BV15" s="2" t="s">
        <v>32</v>
      </c>
      <c r="BX15" s="2">
        <v>0.68799999999999994</v>
      </c>
      <c r="BY15" s="2" t="s">
        <v>191</v>
      </c>
      <c r="BZ15" s="2">
        <v>8038</v>
      </c>
      <c r="CA15" s="2" t="s">
        <v>32</v>
      </c>
      <c r="CC15" s="2">
        <v>0.64100000000000001</v>
      </c>
      <c r="CD15" s="2" t="s">
        <v>200</v>
      </c>
      <c r="CE15" s="2">
        <v>7336</v>
      </c>
      <c r="CF15" s="2" t="s">
        <v>32</v>
      </c>
      <c r="CH15" s="2">
        <v>2.0579999999999998</v>
      </c>
      <c r="CI15" s="2" t="s">
        <v>213</v>
      </c>
      <c r="CJ15" s="2">
        <v>12143</v>
      </c>
      <c r="CK15" s="2" t="s">
        <v>28</v>
      </c>
      <c r="CM15" s="2">
        <v>0.74099999999999999</v>
      </c>
      <c r="CN15" s="2" t="s">
        <v>223</v>
      </c>
      <c r="CO15" s="2">
        <v>7232</v>
      </c>
      <c r="CP15" s="2" t="s">
        <v>37</v>
      </c>
      <c r="CR15" s="2">
        <v>0.65500000000000003</v>
      </c>
      <c r="CS15" s="2" t="s">
        <v>199</v>
      </c>
      <c r="CT15" s="2">
        <v>6677</v>
      </c>
      <c r="CU15" s="2" t="s">
        <v>37</v>
      </c>
      <c r="CW15" s="2">
        <v>0.71</v>
      </c>
      <c r="CX15" s="2" t="s">
        <v>236</v>
      </c>
      <c r="CY15" s="2">
        <v>6677</v>
      </c>
      <c r="CZ15" s="2" t="s">
        <v>237</v>
      </c>
      <c r="DB15" s="2">
        <v>0.71199999999999997</v>
      </c>
      <c r="DC15" s="2" t="s">
        <v>236</v>
      </c>
      <c r="DD15" s="2">
        <v>6677</v>
      </c>
      <c r="DE15" s="2" t="s">
        <v>237</v>
      </c>
      <c r="DG15" s="2">
        <v>1.1519999999999999</v>
      </c>
      <c r="DH15" s="2" t="s">
        <v>22</v>
      </c>
      <c r="DI15" s="2">
        <v>48</v>
      </c>
      <c r="DJ15" s="2" t="s">
        <v>24</v>
      </c>
      <c r="DL15" s="2">
        <v>0.627</v>
      </c>
      <c r="DM15" s="2" t="s">
        <v>236</v>
      </c>
      <c r="DN15" s="2">
        <v>6201</v>
      </c>
      <c r="DO15" s="2" t="s">
        <v>237</v>
      </c>
    </row>
    <row r="16" spans="1:119" x14ac:dyDescent="0.2">
      <c r="A16" s="2">
        <v>0.54100000000000004</v>
      </c>
      <c r="B16" s="2" t="s">
        <v>31</v>
      </c>
      <c r="C16" s="2">
        <v>6118</v>
      </c>
      <c r="D16" s="2" t="s">
        <v>32</v>
      </c>
      <c r="F16" s="2">
        <v>0.48799999999999999</v>
      </c>
      <c r="G16" s="2" t="s">
        <v>29</v>
      </c>
      <c r="H16" s="2">
        <v>6118</v>
      </c>
      <c r="I16" s="2" t="s">
        <v>30</v>
      </c>
      <c r="K16" s="2">
        <v>0.496</v>
      </c>
      <c r="L16" s="2" t="s">
        <v>29</v>
      </c>
      <c r="M16" s="2">
        <v>6102</v>
      </c>
      <c r="N16" s="2" t="s">
        <v>30</v>
      </c>
      <c r="P16" s="2">
        <v>0.27800000000000002</v>
      </c>
      <c r="Q16" s="2" t="s">
        <v>72</v>
      </c>
      <c r="R16" s="2">
        <v>3437</v>
      </c>
      <c r="S16" s="2" t="s">
        <v>36</v>
      </c>
      <c r="U16" s="2">
        <v>0.34300000000000003</v>
      </c>
      <c r="V16" s="2" t="s">
        <v>70</v>
      </c>
      <c r="W16" s="2">
        <v>1892</v>
      </c>
      <c r="X16" s="2" t="s">
        <v>28</v>
      </c>
      <c r="Z16" s="2">
        <v>0.33300000000000002</v>
      </c>
      <c r="AA16" s="2" t="s">
        <v>70</v>
      </c>
      <c r="AB16" s="2">
        <v>1892</v>
      </c>
      <c r="AC16" s="2" t="s">
        <v>28</v>
      </c>
      <c r="AE16" s="2">
        <v>0.35299999999999998</v>
      </c>
      <c r="AF16" s="2" t="s">
        <v>101</v>
      </c>
      <c r="AG16" s="2">
        <v>1892</v>
      </c>
      <c r="AH16" s="2" t="s">
        <v>28</v>
      </c>
      <c r="AJ16" s="2">
        <v>0.371</v>
      </c>
      <c r="AK16" s="2" t="s">
        <v>101</v>
      </c>
      <c r="AL16" s="2">
        <v>1892</v>
      </c>
      <c r="AM16" s="2" t="s">
        <v>28</v>
      </c>
      <c r="AO16" s="2">
        <v>0.32</v>
      </c>
      <c r="AP16" s="2" t="s">
        <v>70</v>
      </c>
      <c r="AQ16" s="2">
        <v>1892</v>
      </c>
      <c r="AR16" s="2" t="s">
        <v>28</v>
      </c>
      <c r="AT16" s="2">
        <v>0.35499999999999998</v>
      </c>
      <c r="AU16" s="2" t="s">
        <v>101</v>
      </c>
      <c r="AV16" s="2">
        <v>1892</v>
      </c>
      <c r="AW16" s="2" t="s">
        <v>28</v>
      </c>
      <c r="AY16" s="2">
        <v>0.45200000000000001</v>
      </c>
      <c r="AZ16" s="2" t="s">
        <v>144</v>
      </c>
      <c r="BA16" s="2">
        <v>3047</v>
      </c>
      <c r="BB16" s="2" t="s">
        <v>19</v>
      </c>
      <c r="BD16" s="2">
        <v>0.43</v>
      </c>
      <c r="BE16" s="2" t="s">
        <v>144</v>
      </c>
      <c r="BF16" s="2">
        <v>3047</v>
      </c>
      <c r="BG16" s="2" t="s">
        <v>19</v>
      </c>
      <c r="BI16" s="2">
        <v>0.40899999999999997</v>
      </c>
      <c r="BJ16" s="2" t="s">
        <v>144</v>
      </c>
      <c r="BK16" s="2">
        <v>3047</v>
      </c>
      <c r="BL16" s="2" t="s">
        <v>19</v>
      </c>
      <c r="BN16" s="2">
        <v>0.57599999999999996</v>
      </c>
      <c r="BO16" s="2" t="s">
        <v>16</v>
      </c>
      <c r="BP16" s="2">
        <v>3734</v>
      </c>
      <c r="BQ16" s="2" t="s">
        <v>19</v>
      </c>
      <c r="BS16" s="2">
        <v>0.86</v>
      </c>
      <c r="BT16" s="2" t="s">
        <v>174</v>
      </c>
      <c r="BU16" s="2">
        <v>5918</v>
      </c>
      <c r="BV16" s="2" t="s">
        <v>19</v>
      </c>
      <c r="BX16" s="2">
        <v>1.1439999999999999</v>
      </c>
      <c r="BY16" s="2" t="s">
        <v>189</v>
      </c>
      <c r="BZ16" s="2">
        <v>7934</v>
      </c>
      <c r="CA16" s="2" t="s">
        <v>19</v>
      </c>
      <c r="CC16" s="2">
        <v>1.016</v>
      </c>
      <c r="CD16" s="2" t="s">
        <v>142</v>
      </c>
      <c r="CE16" s="2">
        <v>6677</v>
      </c>
      <c r="CF16" s="2" t="s">
        <v>19</v>
      </c>
      <c r="CH16" s="2">
        <v>1.6719999999999999</v>
      </c>
      <c r="CI16" s="2" t="s">
        <v>82</v>
      </c>
      <c r="CJ16" s="2">
        <v>17776</v>
      </c>
      <c r="CK16" s="2" t="s">
        <v>32</v>
      </c>
      <c r="CM16" s="2">
        <v>0.70199999999999996</v>
      </c>
      <c r="CN16" s="2" t="s">
        <v>224</v>
      </c>
      <c r="CO16" s="2">
        <v>7546</v>
      </c>
      <c r="CP16" s="2" t="s">
        <v>32</v>
      </c>
      <c r="CR16" s="2">
        <v>0.629</v>
      </c>
      <c r="CS16" s="2" t="s">
        <v>200</v>
      </c>
      <c r="CT16" s="2">
        <v>7336</v>
      </c>
      <c r="CU16" s="2" t="s">
        <v>32</v>
      </c>
      <c r="CW16" s="2">
        <v>0.64100000000000001</v>
      </c>
      <c r="CX16" s="2" t="s">
        <v>199</v>
      </c>
      <c r="CY16" s="2">
        <v>6677</v>
      </c>
      <c r="CZ16" s="2" t="s">
        <v>37</v>
      </c>
      <c r="DB16" s="2">
        <v>0.64200000000000002</v>
      </c>
      <c r="DC16" s="2" t="s">
        <v>243</v>
      </c>
      <c r="DD16" s="2">
        <v>6677</v>
      </c>
      <c r="DE16" s="2" t="s">
        <v>37</v>
      </c>
      <c r="DG16" s="2">
        <v>1.139</v>
      </c>
      <c r="DH16" s="2" t="s">
        <v>124</v>
      </c>
      <c r="DI16" s="2">
        <v>6677</v>
      </c>
      <c r="DJ16" s="2" t="s">
        <v>19</v>
      </c>
      <c r="DL16" s="2">
        <v>0.56699999999999995</v>
      </c>
      <c r="DM16" s="2" t="s">
        <v>199</v>
      </c>
      <c r="DN16" s="2">
        <v>6201</v>
      </c>
      <c r="DO16" s="2" t="s">
        <v>37</v>
      </c>
    </row>
    <row r="17" spans="1:119" x14ac:dyDescent="0.2">
      <c r="A17" s="2">
        <v>0.52700000000000002</v>
      </c>
      <c r="B17" s="2" t="s">
        <v>33</v>
      </c>
      <c r="C17" s="2">
        <v>5693</v>
      </c>
      <c r="D17" s="2" t="s">
        <v>34</v>
      </c>
      <c r="F17" s="2">
        <v>0.443</v>
      </c>
      <c r="G17" s="2" t="s">
        <v>54</v>
      </c>
      <c r="H17" s="2">
        <v>5693</v>
      </c>
      <c r="I17" s="2" t="s">
        <v>34</v>
      </c>
      <c r="K17" s="2">
        <v>0.45900000000000002</v>
      </c>
      <c r="L17" s="2" t="s">
        <v>33</v>
      </c>
      <c r="M17" s="2">
        <v>5649</v>
      </c>
      <c r="N17" s="2" t="s">
        <v>34</v>
      </c>
      <c r="P17" s="2">
        <v>0.26900000000000002</v>
      </c>
      <c r="Q17" s="2" t="s">
        <v>72</v>
      </c>
      <c r="R17" s="2">
        <v>3437</v>
      </c>
      <c r="S17" s="2" t="s">
        <v>37</v>
      </c>
      <c r="U17" s="2">
        <v>0.28899999999999998</v>
      </c>
      <c r="V17" s="2" t="s">
        <v>85</v>
      </c>
      <c r="W17" s="2">
        <v>3334</v>
      </c>
      <c r="X17" s="2" t="s">
        <v>32</v>
      </c>
      <c r="Z17" s="2">
        <v>0.28000000000000003</v>
      </c>
      <c r="AA17" s="2" t="s">
        <v>73</v>
      </c>
      <c r="AB17" s="2">
        <v>3334</v>
      </c>
      <c r="AC17" s="2" t="s">
        <v>32</v>
      </c>
      <c r="AE17" s="2">
        <v>0.28100000000000003</v>
      </c>
      <c r="AF17" s="2" t="s">
        <v>85</v>
      </c>
      <c r="AG17" s="2">
        <v>3334</v>
      </c>
      <c r="AH17" s="2" t="s">
        <v>32</v>
      </c>
      <c r="AJ17" s="2">
        <v>0.29699999999999999</v>
      </c>
      <c r="AK17" s="2" t="s">
        <v>73</v>
      </c>
      <c r="AL17" s="2">
        <v>3334</v>
      </c>
      <c r="AM17" s="2" t="s">
        <v>32</v>
      </c>
      <c r="AO17" s="2">
        <v>0.27500000000000002</v>
      </c>
      <c r="AP17" s="2" t="s">
        <v>85</v>
      </c>
      <c r="AQ17" s="2">
        <v>3334</v>
      </c>
      <c r="AR17" s="2" t="s">
        <v>32</v>
      </c>
      <c r="AT17" s="2">
        <v>0.29399999999999998</v>
      </c>
      <c r="AU17" s="2" t="s">
        <v>85</v>
      </c>
      <c r="AV17" s="2">
        <v>3334</v>
      </c>
      <c r="AW17" s="2" t="s">
        <v>32</v>
      </c>
      <c r="AY17" s="2">
        <v>8.1000000000000003E-2</v>
      </c>
      <c r="AZ17" s="2" t="s">
        <v>113</v>
      </c>
      <c r="BA17" s="2">
        <v>4032</v>
      </c>
      <c r="BB17" s="2" t="s">
        <v>48</v>
      </c>
      <c r="BD17" s="2">
        <v>7.2999999999999995E-2</v>
      </c>
      <c r="BE17" s="2" t="s">
        <v>113</v>
      </c>
      <c r="BF17" s="2">
        <v>4032</v>
      </c>
      <c r="BG17" s="2" t="s">
        <v>48</v>
      </c>
      <c r="BI17" s="2">
        <v>6.6000000000000003E-2</v>
      </c>
      <c r="BJ17" s="2" t="s">
        <v>56</v>
      </c>
      <c r="BK17" s="2">
        <v>4032</v>
      </c>
      <c r="BL17" s="2" t="s">
        <v>48</v>
      </c>
      <c r="BN17" s="2">
        <v>0.09</v>
      </c>
      <c r="BO17" s="2" t="s">
        <v>60</v>
      </c>
      <c r="BP17" s="2">
        <v>4896</v>
      </c>
      <c r="BQ17" s="2" t="s">
        <v>48</v>
      </c>
      <c r="BS17" s="2">
        <v>0.14099999999999999</v>
      </c>
      <c r="BT17" s="2" t="s">
        <v>180</v>
      </c>
      <c r="BU17" s="2">
        <v>7344</v>
      </c>
      <c r="BV17" s="2" t="s">
        <v>48</v>
      </c>
      <c r="BX17" s="2">
        <v>0.16600000000000001</v>
      </c>
      <c r="BY17" s="2" t="s">
        <v>60</v>
      </c>
      <c r="BZ17" s="2">
        <v>9936</v>
      </c>
      <c r="CA17" s="2" t="s">
        <v>48</v>
      </c>
      <c r="CC17" s="2">
        <v>0.16200000000000001</v>
      </c>
      <c r="CD17" s="2" t="s">
        <v>113</v>
      </c>
      <c r="CE17" s="2">
        <v>8352</v>
      </c>
      <c r="CF17" s="2" t="s">
        <v>48</v>
      </c>
      <c r="CH17" s="2">
        <v>2.8809999999999998</v>
      </c>
      <c r="CI17" s="2" t="s">
        <v>212</v>
      </c>
      <c r="CJ17" s="2">
        <v>19337</v>
      </c>
      <c r="CK17" s="2" t="s">
        <v>19</v>
      </c>
      <c r="CM17" s="2">
        <v>0.69399999999999995</v>
      </c>
      <c r="CN17" s="2" t="s">
        <v>170</v>
      </c>
      <c r="CO17" s="2">
        <v>7546</v>
      </c>
      <c r="CP17" s="2" t="s">
        <v>30</v>
      </c>
      <c r="CR17" s="2">
        <v>0.61899999999999999</v>
      </c>
      <c r="CS17" s="2" t="s">
        <v>201</v>
      </c>
      <c r="CT17" s="2">
        <v>7336</v>
      </c>
      <c r="CU17" s="2" t="s">
        <v>30</v>
      </c>
      <c r="CW17" s="2">
        <v>0.63500000000000001</v>
      </c>
      <c r="CX17" s="2" t="s">
        <v>200</v>
      </c>
      <c r="CY17" s="2">
        <v>7336</v>
      </c>
      <c r="CZ17" s="2" t="s">
        <v>32</v>
      </c>
      <c r="DB17" s="2">
        <v>0.61099999999999999</v>
      </c>
      <c r="DC17" s="2" t="s">
        <v>200</v>
      </c>
      <c r="DD17" s="2">
        <v>7336</v>
      </c>
      <c r="DE17" s="2" t="s">
        <v>32</v>
      </c>
      <c r="DG17" s="2">
        <v>1.1259999999999999</v>
      </c>
      <c r="DH17" s="2" t="s">
        <v>22</v>
      </c>
      <c r="DI17" s="2">
        <v>48</v>
      </c>
      <c r="DJ17" s="2" t="s">
        <v>23</v>
      </c>
      <c r="DL17" s="2">
        <v>0.52900000000000003</v>
      </c>
      <c r="DM17" s="2" t="s">
        <v>200</v>
      </c>
      <c r="DN17" s="2">
        <v>6384</v>
      </c>
      <c r="DO17" s="2" t="s">
        <v>32</v>
      </c>
    </row>
    <row r="18" spans="1:119" x14ac:dyDescent="0.2">
      <c r="A18" s="2">
        <v>0.52300000000000002</v>
      </c>
      <c r="B18" s="2" t="s">
        <v>35</v>
      </c>
      <c r="C18" s="2">
        <v>5693</v>
      </c>
      <c r="D18" s="2" t="s">
        <v>36</v>
      </c>
      <c r="F18" s="2">
        <v>0.42799999999999999</v>
      </c>
      <c r="G18" s="2" t="s">
        <v>35</v>
      </c>
      <c r="H18" s="2">
        <v>5693</v>
      </c>
      <c r="I18" s="2" t="s">
        <v>36</v>
      </c>
      <c r="K18" s="2">
        <v>0.45100000000000001</v>
      </c>
      <c r="L18" s="2" t="s">
        <v>35</v>
      </c>
      <c r="M18" s="2">
        <v>5649</v>
      </c>
      <c r="N18" s="2" t="s">
        <v>36</v>
      </c>
      <c r="P18" s="2">
        <v>0.26700000000000002</v>
      </c>
      <c r="Q18" s="2" t="s">
        <v>73</v>
      </c>
      <c r="R18" s="2">
        <v>3334</v>
      </c>
      <c r="S18" s="2" t="s">
        <v>32</v>
      </c>
      <c r="U18" s="2">
        <v>0.52500000000000002</v>
      </c>
      <c r="V18" s="2" t="s">
        <v>84</v>
      </c>
      <c r="W18" s="2">
        <v>3437</v>
      </c>
      <c r="X18" s="2" t="s">
        <v>19</v>
      </c>
      <c r="Z18" s="2">
        <v>0.47499999999999998</v>
      </c>
      <c r="AA18" s="2" t="s">
        <v>94</v>
      </c>
      <c r="AB18" s="2">
        <v>3047</v>
      </c>
      <c r="AC18" s="2" t="s">
        <v>19</v>
      </c>
      <c r="AE18" s="2">
        <v>0.50800000000000001</v>
      </c>
      <c r="AF18" s="2" t="s">
        <v>94</v>
      </c>
      <c r="AG18" s="2">
        <v>3047</v>
      </c>
      <c r="AH18" s="2" t="s">
        <v>19</v>
      </c>
      <c r="AJ18" s="2">
        <v>0.51500000000000001</v>
      </c>
      <c r="AK18" s="2" t="s">
        <v>94</v>
      </c>
      <c r="AL18" s="2">
        <v>3047</v>
      </c>
      <c r="AM18" s="2" t="s">
        <v>19</v>
      </c>
      <c r="AO18" s="2">
        <v>0.45400000000000001</v>
      </c>
      <c r="AP18" s="2" t="s">
        <v>94</v>
      </c>
      <c r="AQ18" s="2">
        <v>3047</v>
      </c>
      <c r="AR18" s="2" t="s">
        <v>19</v>
      </c>
      <c r="AT18" s="2">
        <v>0.48499999999999999</v>
      </c>
      <c r="AU18" s="2" t="s">
        <v>94</v>
      </c>
      <c r="AV18" s="2">
        <v>3047</v>
      </c>
      <c r="AW18" s="2" t="s">
        <v>19</v>
      </c>
      <c r="AY18" s="2">
        <v>101.806</v>
      </c>
      <c r="AZ18" s="2" t="s">
        <v>141</v>
      </c>
      <c r="BA18" s="2">
        <v>668</v>
      </c>
      <c r="BB18" s="2" t="s">
        <v>5</v>
      </c>
      <c r="BD18" s="2">
        <v>101.557</v>
      </c>
      <c r="BE18" s="2" t="s">
        <v>149</v>
      </c>
      <c r="BF18" s="2">
        <v>668</v>
      </c>
      <c r="BG18" s="2" t="s">
        <v>5</v>
      </c>
      <c r="BI18" s="2">
        <v>98.894999999999996</v>
      </c>
      <c r="BJ18" s="2" t="s">
        <v>153</v>
      </c>
      <c r="BK18" s="2">
        <v>668</v>
      </c>
      <c r="BL18" s="2" t="s">
        <v>5</v>
      </c>
      <c r="BN18" s="2">
        <v>125.188</v>
      </c>
      <c r="BO18" s="2" t="s">
        <v>141</v>
      </c>
      <c r="BP18" s="2">
        <v>668</v>
      </c>
      <c r="BQ18" s="2" t="s">
        <v>5</v>
      </c>
      <c r="BS18" s="2">
        <v>205.12299999999999</v>
      </c>
      <c r="BT18" s="2" t="s">
        <v>141</v>
      </c>
      <c r="BU18" s="2">
        <v>668</v>
      </c>
      <c r="BV18" s="2" t="s">
        <v>5</v>
      </c>
      <c r="BX18" s="2">
        <v>270.42</v>
      </c>
      <c r="BY18" s="2" t="s">
        <v>184</v>
      </c>
      <c r="BZ18" s="2">
        <v>668</v>
      </c>
      <c r="CA18" s="2" t="s">
        <v>5</v>
      </c>
      <c r="CC18" s="2">
        <v>214.85599999999999</v>
      </c>
      <c r="CD18" s="2" t="s">
        <v>141</v>
      </c>
      <c r="CE18" s="2">
        <v>668</v>
      </c>
      <c r="CF18" s="2" t="s">
        <v>5</v>
      </c>
      <c r="CH18" s="2">
        <v>0.16900000000000001</v>
      </c>
      <c r="CI18" s="2" t="s">
        <v>215</v>
      </c>
      <c r="CJ18" s="2">
        <v>8352</v>
      </c>
      <c r="CK18" s="2" t="s">
        <v>48</v>
      </c>
      <c r="CM18" s="2">
        <v>0.39200000000000002</v>
      </c>
      <c r="CN18" s="2" t="s">
        <v>225</v>
      </c>
      <c r="CO18" s="2">
        <v>2453</v>
      </c>
      <c r="CP18" s="2" t="s">
        <v>41</v>
      </c>
      <c r="CR18" s="2">
        <v>0.36599999999999999</v>
      </c>
      <c r="CS18" s="2">
        <v>704</v>
      </c>
      <c r="CT18" s="2">
        <v>5568</v>
      </c>
      <c r="CU18" s="2" t="s">
        <v>39</v>
      </c>
      <c r="CW18" s="2">
        <v>0.623</v>
      </c>
      <c r="CX18" s="2" t="s">
        <v>201</v>
      </c>
      <c r="CY18" s="2">
        <v>7336</v>
      </c>
      <c r="CZ18" s="2" t="s">
        <v>30</v>
      </c>
      <c r="DB18" s="2">
        <v>0.60799999999999998</v>
      </c>
      <c r="DC18" s="2" t="s">
        <v>244</v>
      </c>
      <c r="DD18" s="2">
        <v>7336</v>
      </c>
      <c r="DE18" s="2" t="s">
        <v>30</v>
      </c>
      <c r="DG18" s="2">
        <v>0.80300000000000005</v>
      </c>
      <c r="DH18" s="2" t="s">
        <v>40</v>
      </c>
      <c r="DI18" s="2">
        <v>4523</v>
      </c>
      <c r="DJ18" s="2" t="s">
        <v>28</v>
      </c>
      <c r="DL18" s="2">
        <v>0.52100000000000002</v>
      </c>
      <c r="DM18" s="2" t="s">
        <v>201</v>
      </c>
      <c r="DN18" s="2">
        <v>6384</v>
      </c>
      <c r="DO18" s="2" t="s">
        <v>30</v>
      </c>
    </row>
    <row r="19" spans="1:119" x14ac:dyDescent="0.2">
      <c r="A19" s="2">
        <v>0.51300000000000001</v>
      </c>
      <c r="B19" s="2" t="s">
        <v>35</v>
      </c>
      <c r="C19" s="2">
        <v>5693</v>
      </c>
      <c r="D19" s="2" t="s">
        <v>37</v>
      </c>
      <c r="F19" s="2">
        <v>0.41799999999999998</v>
      </c>
      <c r="G19" s="2" t="s">
        <v>35</v>
      </c>
      <c r="H19" s="2">
        <v>5693</v>
      </c>
      <c r="I19" s="2" t="s">
        <v>37</v>
      </c>
      <c r="K19" s="2">
        <v>0.441</v>
      </c>
      <c r="L19" s="2" t="s">
        <v>35</v>
      </c>
      <c r="M19" s="2">
        <v>5649</v>
      </c>
      <c r="N19" s="2" t="s">
        <v>37</v>
      </c>
      <c r="P19" s="2">
        <v>0.25900000000000001</v>
      </c>
      <c r="Q19" s="2" t="s">
        <v>72</v>
      </c>
      <c r="R19" s="2">
        <v>3437</v>
      </c>
      <c r="S19" s="2" t="s">
        <v>38</v>
      </c>
      <c r="U19" s="2">
        <v>7.8E-2</v>
      </c>
      <c r="V19" s="2" t="s">
        <v>86</v>
      </c>
      <c r="W19" s="2">
        <v>4032</v>
      </c>
      <c r="X19" s="2" t="s">
        <v>48</v>
      </c>
      <c r="Z19" s="2">
        <v>7.0000000000000007E-2</v>
      </c>
      <c r="AA19" s="2" t="s">
        <v>49</v>
      </c>
      <c r="AB19" s="2">
        <v>4032</v>
      </c>
      <c r="AC19" s="2" t="s">
        <v>48</v>
      </c>
      <c r="AE19" s="2">
        <v>7.8E-2</v>
      </c>
      <c r="AF19" s="2" t="s">
        <v>49</v>
      </c>
      <c r="AG19" s="2">
        <v>4032</v>
      </c>
      <c r="AH19" s="2" t="s">
        <v>48</v>
      </c>
      <c r="AJ19" s="2">
        <v>8.2000000000000003E-2</v>
      </c>
      <c r="AK19" s="2" t="s">
        <v>113</v>
      </c>
      <c r="AL19" s="2">
        <v>4032</v>
      </c>
      <c r="AM19" s="2" t="s">
        <v>48</v>
      </c>
      <c r="AO19" s="2">
        <v>7.3999999999999996E-2</v>
      </c>
      <c r="AP19" s="2" t="s">
        <v>49</v>
      </c>
      <c r="AQ19" s="2">
        <v>4032</v>
      </c>
      <c r="AR19" s="2" t="s">
        <v>48</v>
      </c>
      <c r="AT19" s="2">
        <v>7.1999999999999995E-2</v>
      </c>
      <c r="AU19" s="2" t="s">
        <v>49</v>
      </c>
      <c r="AV19" s="2">
        <v>4032</v>
      </c>
      <c r="AW19" s="2" t="s">
        <v>48</v>
      </c>
      <c r="AY19" s="2">
        <v>3.13</v>
      </c>
      <c r="AZ19" s="2" t="s">
        <v>16</v>
      </c>
      <c r="BA19" s="2">
        <v>72</v>
      </c>
      <c r="BB19" s="2" t="s">
        <v>17</v>
      </c>
      <c r="BD19" s="2">
        <v>3.0339999999999998</v>
      </c>
      <c r="BE19" s="2" t="s">
        <v>16</v>
      </c>
      <c r="BF19" s="2">
        <v>72</v>
      </c>
      <c r="BG19" s="2" t="s">
        <v>17</v>
      </c>
      <c r="BI19" s="2">
        <v>3.0110000000000001</v>
      </c>
      <c r="BJ19" s="2" t="s">
        <v>16</v>
      </c>
      <c r="BK19" s="2">
        <v>72</v>
      </c>
      <c r="BL19" s="2" t="s">
        <v>17</v>
      </c>
      <c r="BN19" s="2">
        <v>2.968</v>
      </c>
      <c r="BO19" s="2" t="s">
        <v>16</v>
      </c>
      <c r="BP19" s="2">
        <v>72</v>
      </c>
      <c r="BQ19" s="2" t="s">
        <v>17</v>
      </c>
      <c r="BS19" s="2">
        <v>3.1070000000000002</v>
      </c>
      <c r="BT19" s="2" t="s">
        <v>16</v>
      </c>
      <c r="BU19" s="2">
        <v>72</v>
      </c>
      <c r="BV19" s="2" t="s">
        <v>17</v>
      </c>
      <c r="BX19" s="2">
        <v>2.9809999999999999</v>
      </c>
      <c r="BY19" s="2" t="s">
        <v>16</v>
      </c>
      <c r="BZ19" s="2">
        <v>72</v>
      </c>
      <c r="CA19" s="2" t="s">
        <v>17</v>
      </c>
      <c r="CC19" s="2">
        <v>3.1240000000000001</v>
      </c>
      <c r="CD19" s="2" t="s">
        <v>16</v>
      </c>
      <c r="CE19" s="2">
        <v>72</v>
      </c>
      <c r="CF19" s="2" t="s">
        <v>17</v>
      </c>
      <c r="CH19" s="2">
        <v>236.25200000000001</v>
      </c>
      <c r="CI19" s="2" t="s">
        <v>104</v>
      </c>
      <c r="CJ19" s="2">
        <v>668</v>
      </c>
      <c r="CK19" s="2" t="s">
        <v>5</v>
      </c>
      <c r="CM19" s="2">
        <v>0.38400000000000001</v>
      </c>
      <c r="CN19" s="2">
        <v>704</v>
      </c>
      <c r="CO19" s="2">
        <v>5568</v>
      </c>
      <c r="CP19" s="2" t="s">
        <v>39</v>
      </c>
      <c r="CR19" s="2">
        <v>0.36399999999999999</v>
      </c>
      <c r="CS19" s="2">
        <v>920</v>
      </c>
      <c r="CT19" s="2">
        <v>5568</v>
      </c>
      <c r="CU19" s="2" t="s">
        <v>42</v>
      </c>
      <c r="CW19" s="2">
        <v>0.378</v>
      </c>
      <c r="CX19" s="2">
        <v>744</v>
      </c>
      <c r="CY19" s="2">
        <v>5568</v>
      </c>
      <c r="CZ19" s="2" t="s">
        <v>39</v>
      </c>
      <c r="DB19" s="2">
        <v>0.38600000000000001</v>
      </c>
      <c r="DC19" s="2">
        <v>904</v>
      </c>
      <c r="DD19" s="2">
        <v>5568</v>
      </c>
      <c r="DE19" s="2" t="s">
        <v>39</v>
      </c>
      <c r="DG19" s="2">
        <v>0.66600000000000004</v>
      </c>
      <c r="DH19" s="2" t="s">
        <v>49</v>
      </c>
      <c r="DI19" s="2">
        <v>9744</v>
      </c>
      <c r="DJ19" s="2" t="s">
        <v>255</v>
      </c>
      <c r="DL19" s="2">
        <v>0.34399999999999997</v>
      </c>
      <c r="DM19" s="2">
        <v>688</v>
      </c>
      <c r="DN19" s="2">
        <v>4960</v>
      </c>
      <c r="DO19" s="2" t="s">
        <v>39</v>
      </c>
    </row>
    <row r="20" spans="1:119" x14ac:dyDescent="0.2">
      <c r="A20" s="2">
        <v>0.47499999999999998</v>
      </c>
      <c r="B20" s="2" t="s">
        <v>35</v>
      </c>
      <c r="C20" s="2">
        <v>5693</v>
      </c>
      <c r="D20" s="2" t="s">
        <v>38</v>
      </c>
      <c r="F20" s="2">
        <v>0.40200000000000002</v>
      </c>
      <c r="G20" s="2" t="s">
        <v>35</v>
      </c>
      <c r="H20" s="2">
        <v>5693</v>
      </c>
      <c r="I20" s="2" t="s">
        <v>38</v>
      </c>
      <c r="K20" s="2">
        <v>0.42699999999999999</v>
      </c>
      <c r="L20" s="2" t="s">
        <v>35</v>
      </c>
      <c r="M20" s="2">
        <v>5649</v>
      </c>
      <c r="N20" s="2" t="s">
        <v>38</v>
      </c>
      <c r="P20" s="2">
        <v>0.25700000000000001</v>
      </c>
      <c r="Q20" s="2" t="s">
        <v>74</v>
      </c>
      <c r="R20" s="2">
        <v>3334</v>
      </c>
      <c r="S20" s="2" t="s">
        <v>30</v>
      </c>
      <c r="U20" s="2">
        <v>109.181</v>
      </c>
      <c r="V20" s="2" t="s">
        <v>80</v>
      </c>
      <c r="W20" s="2">
        <v>668</v>
      </c>
      <c r="X20" s="2" t="s">
        <v>5</v>
      </c>
      <c r="Z20" s="2">
        <v>106.77200000000001</v>
      </c>
      <c r="AA20" s="2" t="s">
        <v>89</v>
      </c>
      <c r="AB20" s="2">
        <v>668</v>
      </c>
      <c r="AC20" s="2" t="s">
        <v>5</v>
      </c>
      <c r="AE20" s="2">
        <v>97.549000000000007</v>
      </c>
      <c r="AF20" s="2" t="s">
        <v>59</v>
      </c>
      <c r="AG20" s="2">
        <v>668</v>
      </c>
      <c r="AH20" s="2" t="s">
        <v>5</v>
      </c>
      <c r="AJ20" s="2">
        <v>102.77200000000001</v>
      </c>
      <c r="AK20" s="2" t="s">
        <v>59</v>
      </c>
      <c r="AL20" s="2">
        <v>668</v>
      </c>
      <c r="AM20" s="2" t="s">
        <v>5</v>
      </c>
      <c r="AO20" s="2">
        <v>105.848</v>
      </c>
      <c r="AP20" s="2" t="s">
        <v>116</v>
      </c>
      <c r="AQ20" s="2">
        <v>668</v>
      </c>
      <c r="AR20" s="2" t="s">
        <v>5</v>
      </c>
      <c r="AT20" s="2">
        <v>106.407</v>
      </c>
      <c r="AU20" s="2" t="s">
        <v>123</v>
      </c>
      <c r="AV20" s="2">
        <v>668</v>
      </c>
      <c r="AW20" s="2" t="s">
        <v>5</v>
      </c>
      <c r="AY20" s="2">
        <v>0.16300000000000001</v>
      </c>
      <c r="AZ20" s="2" t="s">
        <v>104</v>
      </c>
      <c r="BA20" s="2">
        <v>1052</v>
      </c>
      <c r="BB20" s="2" t="s">
        <v>41</v>
      </c>
      <c r="BD20" s="2">
        <v>0.13900000000000001</v>
      </c>
      <c r="BE20" s="2" t="s">
        <v>97</v>
      </c>
      <c r="BF20" s="2">
        <v>1052</v>
      </c>
      <c r="BG20" s="2" t="s">
        <v>41</v>
      </c>
      <c r="BI20" s="2">
        <v>0.13900000000000001</v>
      </c>
      <c r="BJ20" s="2" t="s">
        <v>104</v>
      </c>
      <c r="BK20" s="2">
        <v>1052</v>
      </c>
      <c r="BL20" s="2" t="s">
        <v>41</v>
      </c>
      <c r="BN20" s="2">
        <v>0.18</v>
      </c>
      <c r="BO20" s="2" t="s">
        <v>94</v>
      </c>
      <c r="BP20" s="2">
        <v>1281</v>
      </c>
      <c r="BQ20" s="2" t="s">
        <v>41</v>
      </c>
      <c r="BS20" s="2">
        <v>0.28899999999999998</v>
      </c>
      <c r="BT20" s="2" t="s">
        <v>179</v>
      </c>
      <c r="BU20" s="2">
        <v>2009</v>
      </c>
      <c r="BV20" s="2" t="s">
        <v>41</v>
      </c>
      <c r="BX20" s="2">
        <v>0.36699999999999999</v>
      </c>
      <c r="BY20" s="2" t="s">
        <v>142</v>
      </c>
      <c r="BZ20" s="2">
        <v>2681</v>
      </c>
      <c r="CA20" s="2" t="s">
        <v>41</v>
      </c>
      <c r="CC20" s="2">
        <v>0.33900000000000002</v>
      </c>
      <c r="CD20" s="2" t="s">
        <v>161</v>
      </c>
      <c r="CE20" s="2">
        <v>2262</v>
      </c>
      <c r="CF20" s="2" t="s">
        <v>41</v>
      </c>
      <c r="CH20" s="2">
        <v>2.5910000000000002</v>
      </c>
      <c r="CI20" s="2" t="s">
        <v>16</v>
      </c>
      <c r="CJ20" s="2">
        <v>72</v>
      </c>
      <c r="CK20" s="2" t="s">
        <v>17</v>
      </c>
      <c r="CM20" s="2">
        <v>0.38200000000000001</v>
      </c>
      <c r="CN20" s="2">
        <v>920</v>
      </c>
      <c r="CO20" s="2">
        <v>5568</v>
      </c>
      <c r="CP20" s="2" t="s">
        <v>42</v>
      </c>
      <c r="CR20" s="2">
        <v>0.33600000000000002</v>
      </c>
      <c r="CS20" s="2" t="s">
        <v>161</v>
      </c>
      <c r="CT20" s="2">
        <v>2268</v>
      </c>
      <c r="CU20" s="2" t="s">
        <v>41</v>
      </c>
      <c r="CW20" s="2">
        <v>0.372</v>
      </c>
      <c r="CX20" s="2">
        <v>920</v>
      </c>
      <c r="CY20" s="2">
        <v>5568</v>
      </c>
      <c r="CZ20" s="2" t="s">
        <v>42</v>
      </c>
      <c r="DB20" s="2">
        <v>0.36899999999999999</v>
      </c>
      <c r="DC20" s="2">
        <v>920</v>
      </c>
      <c r="DD20" s="2">
        <v>5568</v>
      </c>
      <c r="DE20" s="2" t="s">
        <v>42</v>
      </c>
      <c r="DG20" s="2">
        <v>0.66</v>
      </c>
      <c r="DH20" s="2" t="s">
        <v>256</v>
      </c>
      <c r="DI20" s="2">
        <v>6677</v>
      </c>
      <c r="DJ20" s="2" t="s">
        <v>36</v>
      </c>
      <c r="DL20" s="2">
        <v>0.34200000000000003</v>
      </c>
      <c r="DM20" s="2">
        <v>904</v>
      </c>
      <c r="DN20" s="2">
        <v>4928</v>
      </c>
      <c r="DO20" s="2" t="s">
        <v>42</v>
      </c>
    </row>
    <row r="21" spans="1:119" x14ac:dyDescent="0.2">
      <c r="A21" s="2">
        <v>0.311</v>
      </c>
      <c r="B21" s="2">
        <v>688</v>
      </c>
      <c r="C21" s="2">
        <v>4416</v>
      </c>
      <c r="D21" s="2" t="s">
        <v>39</v>
      </c>
      <c r="F21" s="2">
        <v>0.3</v>
      </c>
      <c r="G21" s="2">
        <v>544</v>
      </c>
      <c r="H21" s="2">
        <v>4416</v>
      </c>
      <c r="I21" s="2" t="s">
        <v>39</v>
      </c>
      <c r="K21" s="2">
        <v>0.39300000000000002</v>
      </c>
      <c r="L21" s="2" t="s">
        <v>55</v>
      </c>
      <c r="M21" s="2">
        <v>5667</v>
      </c>
      <c r="N21" s="2" t="s">
        <v>44</v>
      </c>
      <c r="P21" s="2">
        <v>0.19400000000000001</v>
      </c>
      <c r="Q21" s="2">
        <v>448</v>
      </c>
      <c r="R21" s="2">
        <v>2688</v>
      </c>
      <c r="S21" s="2" t="s">
        <v>39</v>
      </c>
      <c r="U21" s="2">
        <v>3.222</v>
      </c>
      <c r="V21" s="2" t="s">
        <v>16</v>
      </c>
      <c r="W21" s="2">
        <v>72</v>
      </c>
      <c r="X21" s="2" t="s">
        <v>17</v>
      </c>
      <c r="Z21" s="2">
        <v>3.226</v>
      </c>
      <c r="AA21" s="2" t="s">
        <v>16</v>
      </c>
      <c r="AB21" s="2">
        <v>72</v>
      </c>
      <c r="AC21" s="2" t="s">
        <v>17</v>
      </c>
      <c r="AE21" s="2">
        <v>2.9159999999999999</v>
      </c>
      <c r="AF21" s="2" t="s">
        <v>16</v>
      </c>
      <c r="AG21" s="2">
        <v>72</v>
      </c>
      <c r="AH21" s="2" t="s">
        <v>17</v>
      </c>
      <c r="AJ21" s="2">
        <v>3.1880000000000002</v>
      </c>
      <c r="AK21" s="2" t="s">
        <v>16</v>
      </c>
      <c r="AL21" s="2">
        <v>72</v>
      </c>
      <c r="AM21" s="2" t="s">
        <v>17</v>
      </c>
      <c r="AO21" s="2">
        <v>3.161</v>
      </c>
      <c r="AP21" s="2" t="s">
        <v>16</v>
      </c>
      <c r="AQ21" s="2">
        <v>72</v>
      </c>
      <c r="AR21" s="2" t="s">
        <v>17</v>
      </c>
      <c r="AT21" s="2">
        <v>3.2330000000000001</v>
      </c>
      <c r="AU21" s="2" t="s">
        <v>16</v>
      </c>
      <c r="AV21" s="2">
        <v>72</v>
      </c>
      <c r="AW21" s="2" t="s">
        <v>17</v>
      </c>
      <c r="AY21" s="2">
        <v>1.0680000000000001</v>
      </c>
      <c r="AZ21" s="2" t="s">
        <v>126</v>
      </c>
      <c r="BA21" s="2">
        <v>3809</v>
      </c>
      <c r="BB21" s="2" t="s">
        <v>127</v>
      </c>
      <c r="BD21" s="2">
        <v>1.0489999999999999</v>
      </c>
      <c r="BE21" s="2" t="s">
        <v>126</v>
      </c>
      <c r="BF21" s="2">
        <v>3809</v>
      </c>
      <c r="BG21" s="2" t="s">
        <v>127</v>
      </c>
      <c r="BI21" s="2">
        <v>1.1339999999999999</v>
      </c>
      <c r="BJ21" s="2" t="s">
        <v>126</v>
      </c>
      <c r="BK21" s="2">
        <v>3809</v>
      </c>
      <c r="BL21" s="2" t="s">
        <v>127</v>
      </c>
      <c r="BN21" s="2">
        <v>1.3859999999999999</v>
      </c>
      <c r="BO21" s="2" t="s">
        <v>126</v>
      </c>
      <c r="BP21" s="2">
        <v>4647</v>
      </c>
      <c r="BQ21" s="2" t="s">
        <v>127</v>
      </c>
      <c r="BS21" s="2">
        <v>2.0670000000000002</v>
      </c>
      <c r="BT21" s="2" t="s">
        <v>170</v>
      </c>
      <c r="BU21" s="2">
        <v>7097</v>
      </c>
      <c r="BV21" s="2" t="s">
        <v>127</v>
      </c>
      <c r="BX21" s="2">
        <v>2.6309999999999998</v>
      </c>
      <c r="BY21" s="2" t="s">
        <v>170</v>
      </c>
      <c r="BZ21" s="2">
        <v>9603</v>
      </c>
      <c r="CA21" s="2" t="s">
        <v>127</v>
      </c>
      <c r="CC21" s="2">
        <v>2.2320000000000002</v>
      </c>
      <c r="CD21" s="2" t="s">
        <v>170</v>
      </c>
      <c r="CE21" s="2">
        <v>8064</v>
      </c>
      <c r="CF21" s="2" t="s">
        <v>127</v>
      </c>
      <c r="CH21" s="2">
        <v>0.93200000000000005</v>
      </c>
      <c r="CI21" s="2" t="s">
        <v>214</v>
      </c>
      <c r="CJ21" s="2">
        <v>6482</v>
      </c>
      <c r="CK21" s="2" t="s">
        <v>41</v>
      </c>
      <c r="CM21" s="2">
        <v>0.19800000000000001</v>
      </c>
      <c r="CN21" s="2" t="s">
        <v>119</v>
      </c>
      <c r="CO21" s="2">
        <v>7250</v>
      </c>
      <c r="CP21" s="2" t="s">
        <v>44</v>
      </c>
      <c r="CR21" s="2">
        <v>0.17299999999999999</v>
      </c>
      <c r="CS21" s="2" t="s">
        <v>105</v>
      </c>
      <c r="CT21" s="2">
        <v>6695</v>
      </c>
      <c r="CU21" s="2" t="s">
        <v>44</v>
      </c>
      <c r="CW21" s="2">
        <v>0.316</v>
      </c>
      <c r="CX21" s="2" t="s">
        <v>161</v>
      </c>
      <c r="CY21" s="2">
        <v>2268</v>
      </c>
      <c r="CZ21" s="2" t="s">
        <v>41</v>
      </c>
      <c r="DB21" s="2">
        <v>0.33800000000000002</v>
      </c>
      <c r="DC21" s="2" t="s">
        <v>161</v>
      </c>
      <c r="DD21" s="2">
        <v>2268</v>
      </c>
      <c r="DE21" s="2" t="s">
        <v>41</v>
      </c>
      <c r="DG21" s="2">
        <v>0.65900000000000003</v>
      </c>
      <c r="DH21" s="2" t="s">
        <v>257</v>
      </c>
      <c r="DI21" s="2">
        <v>7336</v>
      </c>
      <c r="DJ21" s="2" t="s">
        <v>32</v>
      </c>
      <c r="DL21" s="2">
        <v>0.29599999999999999</v>
      </c>
      <c r="DM21" s="2" t="s">
        <v>161</v>
      </c>
      <c r="DN21" s="2">
        <v>2112</v>
      </c>
      <c r="DO21" s="2" t="s">
        <v>41</v>
      </c>
    </row>
    <row r="22" spans="1:119" x14ac:dyDescent="0.2">
      <c r="A22" s="2">
        <v>0.3</v>
      </c>
      <c r="B22" s="2" t="s">
        <v>40</v>
      </c>
      <c r="C22" s="2">
        <v>1934</v>
      </c>
      <c r="D22" s="2" t="s">
        <v>41</v>
      </c>
      <c r="F22" s="2">
        <v>0.28999999999999998</v>
      </c>
      <c r="G22" s="2">
        <v>688</v>
      </c>
      <c r="H22" s="2">
        <v>4416</v>
      </c>
      <c r="I22" s="2" t="s">
        <v>42</v>
      </c>
      <c r="K22" s="2">
        <v>0.29799999999999999</v>
      </c>
      <c r="L22" s="2">
        <v>880</v>
      </c>
      <c r="M22" s="2">
        <v>4360</v>
      </c>
      <c r="N22" s="2" t="s">
        <v>39</v>
      </c>
      <c r="P22" s="2">
        <v>0.184</v>
      </c>
      <c r="Q22" s="2" t="s">
        <v>55</v>
      </c>
      <c r="R22" s="2">
        <v>3455</v>
      </c>
      <c r="S22" s="2" t="s">
        <v>44</v>
      </c>
      <c r="U22" s="2">
        <v>0.158</v>
      </c>
      <c r="V22" s="2" t="s">
        <v>16</v>
      </c>
      <c r="W22" s="2">
        <v>1182</v>
      </c>
      <c r="X22" s="2" t="s">
        <v>41</v>
      </c>
      <c r="Z22" s="2">
        <v>0.154</v>
      </c>
      <c r="AA22" s="2" t="s">
        <v>97</v>
      </c>
      <c r="AB22" s="2">
        <v>1052</v>
      </c>
      <c r="AC22" s="2" t="s">
        <v>41</v>
      </c>
      <c r="AE22" s="2">
        <v>0.16600000000000001</v>
      </c>
      <c r="AF22" s="2" t="s">
        <v>104</v>
      </c>
      <c r="AG22" s="2">
        <v>1052</v>
      </c>
      <c r="AH22" s="2" t="s">
        <v>41</v>
      </c>
      <c r="AJ22" s="2">
        <v>0.158</v>
      </c>
      <c r="AK22" s="2" t="s">
        <v>112</v>
      </c>
      <c r="AL22" s="2">
        <v>1052</v>
      </c>
      <c r="AM22" s="2" t="s">
        <v>41</v>
      </c>
      <c r="AO22" s="2">
        <v>0.14399999999999999</v>
      </c>
      <c r="AP22" s="2" t="s">
        <v>104</v>
      </c>
      <c r="AQ22" s="2">
        <v>1052</v>
      </c>
      <c r="AR22" s="2" t="s">
        <v>41</v>
      </c>
      <c r="AT22" s="2">
        <v>0.15</v>
      </c>
      <c r="AU22" s="2" t="s">
        <v>112</v>
      </c>
      <c r="AV22" s="2">
        <v>1052</v>
      </c>
      <c r="AW22" s="2" t="s">
        <v>41</v>
      </c>
      <c r="AY22" s="2">
        <v>8.81</v>
      </c>
      <c r="AZ22" s="2" t="s">
        <v>90</v>
      </c>
      <c r="BA22" s="2">
        <v>19667</v>
      </c>
      <c r="BB22" s="2" t="s">
        <v>125</v>
      </c>
      <c r="BD22" s="2">
        <v>9.0280000000000005</v>
      </c>
      <c r="BE22" s="2" t="s">
        <v>90</v>
      </c>
      <c r="BF22" s="2">
        <v>19667</v>
      </c>
      <c r="BG22" s="2" t="s">
        <v>125</v>
      </c>
      <c r="BI22" s="2">
        <v>10.247999999999999</v>
      </c>
      <c r="BJ22" s="2" t="s">
        <v>90</v>
      </c>
      <c r="BK22" s="2">
        <v>19667</v>
      </c>
      <c r="BL22" s="2" t="s">
        <v>125</v>
      </c>
      <c r="BN22" s="2">
        <v>12.865</v>
      </c>
      <c r="BO22" s="2" t="s">
        <v>90</v>
      </c>
      <c r="BP22" s="2">
        <v>21494</v>
      </c>
      <c r="BQ22" s="2" t="s">
        <v>125</v>
      </c>
      <c r="BS22" s="2">
        <v>18.523</v>
      </c>
      <c r="BT22" s="2" t="s">
        <v>90</v>
      </c>
      <c r="BU22" s="2">
        <v>26660</v>
      </c>
      <c r="BV22" s="2" t="s">
        <v>125</v>
      </c>
      <c r="BX22" s="2">
        <v>24.698</v>
      </c>
      <c r="BY22" s="2" t="s">
        <v>90</v>
      </c>
      <c r="BZ22" s="2">
        <v>32162</v>
      </c>
      <c r="CA22" s="2" t="s">
        <v>125</v>
      </c>
      <c r="CC22" s="2">
        <v>20.41</v>
      </c>
      <c r="CD22" s="2" t="s">
        <v>90</v>
      </c>
      <c r="CE22" s="2">
        <v>28802</v>
      </c>
      <c r="CF22" s="2" t="s">
        <v>125</v>
      </c>
      <c r="CH22" s="2">
        <v>2.25</v>
      </c>
      <c r="CI22" s="2" t="s">
        <v>159</v>
      </c>
      <c r="CJ22" s="2">
        <v>12284</v>
      </c>
      <c r="CK22" s="2" t="s">
        <v>127</v>
      </c>
      <c r="CM22" s="2">
        <v>0.152</v>
      </c>
      <c r="CN22" s="2" t="s">
        <v>47</v>
      </c>
      <c r="CO22" s="2">
        <v>8352</v>
      </c>
      <c r="CP22" s="2" t="s">
        <v>48</v>
      </c>
      <c r="CR22" s="2">
        <v>0.152</v>
      </c>
      <c r="CS22" s="2" t="s">
        <v>75</v>
      </c>
      <c r="CT22" s="2">
        <v>8352</v>
      </c>
      <c r="CU22" s="2" t="s">
        <v>48</v>
      </c>
      <c r="CW22" s="2">
        <v>0.16300000000000001</v>
      </c>
      <c r="CX22" s="2" t="s">
        <v>180</v>
      </c>
      <c r="CY22" s="2">
        <v>8352</v>
      </c>
      <c r="CZ22" s="2" t="s">
        <v>48</v>
      </c>
      <c r="DB22" s="2">
        <v>0.16900000000000001</v>
      </c>
      <c r="DC22" s="2" t="s">
        <v>119</v>
      </c>
      <c r="DD22" s="2">
        <v>6695</v>
      </c>
      <c r="DE22" s="2" t="s">
        <v>44</v>
      </c>
      <c r="DG22" s="2">
        <v>0.64800000000000002</v>
      </c>
      <c r="DH22" s="2" t="s">
        <v>258</v>
      </c>
      <c r="DI22" s="2">
        <v>7336</v>
      </c>
      <c r="DJ22" s="2" t="s">
        <v>30</v>
      </c>
      <c r="DL22" s="2">
        <v>0.154</v>
      </c>
      <c r="DM22" s="2" t="s">
        <v>119</v>
      </c>
      <c r="DN22" s="2">
        <v>6219</v>
      </c>
      <c r="DO22" s="2" t="s">
        <v>44</v>
      </c>
    </row>
    <row r="23" spans="1:119" x14ac:dyDescent="0.2">
      <c r="A23" s="2">
        <v>0.29899999999999999</v>
      </c>
      <c r="B23" s="2">
        <v>744</v>
      </c>
      <c r="C23" s="2">
        <v>4416</v>
      </c>
      <c r="D23" s="2" t="s">
        <v>42</v>
      </c>
      <c r="F23" s="2">
        <v>0.248</v>
      </c>
      <c r="G23" s="2" t="s">
        <v>40</v>
      </c>
      <c r="H23" s="2">
        <v>1934</v>
      </c>
      <c r="I23" s="2" t="s">
        <v>41</v>
      </c>
      <c r="K23" s="2">
        <v>0.28699999999999998</v>
      </c>
      <c r="L23" s="2">
        <v>920</v>
      </c>
      <c r="M23" s="2">
        <v>4360</v>
      </c>
      <c r="N23" s="2" t="s">
        <v>42</v>
      </c>
      <c r="P23" s="2">
        <v>0.182</v>
      </c>
      <c r="Q23" s="2">
        <v>560</v>
      </c>
      <c r="R23" s="2">
        <v>2688</v>
      </c>
      <c r="S23" s="2" t="s">
        <v>42</v>
      </c>
      <c r="U23" s="2">
        <v>10.521000000000001</v>
      </c>
      <c r="V23" s="2" t="s">
        <v>8</v>
      </c>
      <c r="W23" s="2">
        <v>30421</v>
      </c>
      <c r="X23" s="2" t="s">
        <v>9</v>
      </c>
      <c r="Z23" s="2">
        <v>10.497999999999999</v>
      </c>
      <c r="AA23" s="2" t="s">
        <v>90</v>
      </c>
      <c r="AB23" s="2">
        <v>27845</v>
      </c>
      <c r="AC23" s="2" t="s">
        <v>9</v>
      </c>
      <c r="AE23" s="2">
        <v>10.206</v>
      </c>
      <c r="AF23" s="2" t="s">
        <v>90</v>
      </c>
      <c r="AG23" s="2">
        <v>27869</v>
      </c>
      <c r="AH23" s="2" t="s">
        <v>9</v>
      </c>
      <c r="AJ23" s="2">
        <v>10.564</v>
      </c>
      <c r="AK23" s="2" t="s">
        <v>90</v>
      </c>
      <c r="AL23" s="2">
        <v>27875</v>
      </c>
      <c r="AM23" s="2" t="s">
        <v>9</v>
      </c>
      <c r="AO23" s="2">
        <v>10.504</v>
      </c>
      <c r="AP23" s="2" t="s">
        <v>90</v>
      </c>
      <c r="AQ23" s="2">
        <v>27875</v>
      </c>
      <c r="AR23" s="2" t="s">
        <v>9</v>
      </c>
      <c r="AT23" s="2">
        <v>11.177</v>
      </c>
      <c r="AU23" s="2" t="s">
        <v>90</v>
      </c>
      <c r="AV23" s="2">
        <v>27847</v>
      </c>
      <c r="AW23" s="2" t="s">
        <v>9</v>
      </c>
      <c r="AY23" s="2">
        <v>0.13600000000000001</v>
      </c>
      <c r="AZ23" s="2" t="s">
        <v>128</v>
      </c>
      <c r="BA23" s="2">
        <v>60</v>
      </c>
      <c r="BB23" s="2" t="s">
        <v>129</v>
      </c>
      <c r="BD23" s="2">
        <v>0.13600000000000001</v>
      </c>
      <c r="BE23" s="2" t="s">
        <v>128</v>
      </c>
      <c r="BF23" s="2">
        <v>60</v>
      </c>
      <c r="BG23" s="2" t="s">
        <v>129</v>
      </c>
      <c r="BI23" s="2">
        <v>0.128</v>
      </c>
      <c r="BJ23" s="2" t="s">
        <v>128</v>
      </c>
      <c r="BK23" s="2">
        <v>60</v>
      </c>
      <c r="BL23" s="2" t="s">
        <v>129</v>
      </c>
      <c r="BN23" s="2">
        <v>0.14099999999999999</v>
      </c>
      <c r="BO23" s="2" t="s">
        <v>128</v>
      </c>
      <c r="BP23" s="2">
        <v>60</v>
      </c>
      <c r="BQ23" s="2" t="s">
        <v>129</v>
      </c>
      <c r="BS23" s="2">
        <v>0.13100000000000001</v>
      </c>
      <c r="BT23" s="2" t="s">
        <v>128</v>
      </c>
      <c r="BU23" s="2">
        <v>60</v>
      </c>
      <c r="BV23" s="2" t="s">
        <v>129</v>
      </c>
      <c r="BX23" s="2">
        <v>0.126</v>
      </c>
      <c r="BY23" s="2" t="s">
        <v>128</v>
      </c>
      <c r="BZ23" s="2">
        <v>60</v>
      </c>
      <c r="CA23" s="2" t="s">
        <v>129</v>
      </c>
      <c r="CC23" s="2">
        <v>0.127</v>
      </c>
      <c r="CD23" s="2" t="s">
        <v>128</v>
      </c>
      <c r="CE23" s="2">
        <v>60</v>
      </c>
      <c r="CF23" s="2" t="s">
        <v>129</v>
      </c>
      <c r="CH23" s="2">
        <v>20.760999999999999</v>
      </c>
      <c r="CI23" s="2" t="s">
        <v>206</v>
      </c>
      <c r="CJ23" s="2">
        <v>99987</v>
      </c>
      <c r="CK23" s="2" t="s">
        <v>125</v>
      </c>
      <c r="CM23" s="2">
        <v>0.14199999999999999</v>
      </c>
      <c r="CN23" s="2" t="s">
        <v>113</v>
      </c>
      <c r="CO23" s="2">
        <v>8352</v>
      </c>
      <c r="CP23" s="2" t="s">
        <v>50</v>
      </c>
      <c r="CR23" s="2">
        <v>0.15</v>
      </c>
      <c r="CS23" s="2" t="s">
        <v>49</v>
      </c>
      <c r="CT23" s="2">
        <v>8352</v>
      </c>
      <c r="CU23" s="2" t="s">
        <v>50</v>
      </c>
      <c r="CW23" s="2">
        <v>0.14899999999999999</v>
      </c>
      <c r="CX23" s="2" t="s">
        <v>105</v>
      </c>
      <c r="CY23" s="2">
        <v>6695</v>
      </c>
      <c r="CZ23" s="2" t="s">
        <v>44</v>
      </c>
      <c r="DB23" s="2">
        <v>0.154</v>
      </c>
      <c r="DC23" s="2" t="s">
        <v>215</v>
      </c>
      <c r="DD23" s="2">
        <v>8352</v>
      </c>
      <c r="DE23" s="2" t="s">
        <v>48</v>
      </c>
      <c r="DG23" s="2">
        <v>0.628</v>
      </c>
      <c r="DH23" s="2" t="s">
        <v>256</v>
      </c>
      <c r="DI23" s="2">
        <v>6677</v>
      </c>
      <c r="DJ23" s="2" t="s">
        <v>37</v>
      </c>
      <c r="DL23" s="2">
        <v>0.14000000000000001</v>
      </c>
      <c r="DM23" s="2" t="s">
        <v>215</v>
      </c>
      <c r="DN23" s="2">
        <v>7416</v>
      </c>
      <c r="DO23" s="2" t="s">
        <v>48</v>
      </c>
    </row>
    <row r="24" spans="1:119" x14ac:dyDescent="0.2">
      <c r="A24" s="2">
        <v>0.13500000000000001</v>
      </c>
      <c r="B24" s="2" t="s">
        <v>43</v>
      </c>
      <c r="C24" s="2">
        <v>5711</v>
      </c>
      <c r="D24" s="2" t="s">
        <v>44</v>
      </c>
      <c r="F24" s="2">
        <v>0.223</v>
      </c>
      <c r="G24" s="2" t="s">
        <v>55</v>
      </c>
      <c r="H24" s="2">
        <v>5711</v>
      </c>
      <c r="I24" s="2" t="s">
        <v>44</v>
      </c>
      <c r="K24" s="2">
        <v>0.26</v>
      </c>
      <c r="L24" s="2" t="s">
        <v>40</v>
      </c>
      <c r="M24" s="2">
        <v>1920</v>
      </c>
      <c r="N24" s="2" t="s">
        <v>41</v>
      </c>
      <c r="P24" s="2">
        <v>0.155</v>
      </c>
      <c r="Q24" s="2" t="s">
        <v>16</v>
      </c>
      <c r="R24" s="2">
        <v>1182</v>
      </c>
      <c r="S24" s="2" t="s">
        <v>41</v>
      </c>
      <c r="U24" s="2">
        <v>0.19700000000000001</v>
      </c>
      <c r="V24" s="2">
        <v>544</v>
      </c>
      <c r="W24" s="2">
        <v>2688</v>
      </c>
      <c r="X24" s="2" t="s">
        <v>39</v>
      </c>
      <c r="Z24" s="2">
        <v>0.19600000000000001</v>
      </c>
      <c r="AA24" s="2">
        <v>488</v>
      </c>
      <c r="AB24" s="2">
        <v>2688</v>
      </c>
      <c r="AC24" s="2" t="s">
        <v>39</v>
      </c>
      <c r="AE24" s="2">
        <v>0.20200000000000001</v>
      </c>
      <c r="AF24" s="2">
        <v>536</v>
      </c>
      <c r="AG24" s="2">
        <v>2688</v>
      </c>
      <c r="AH24" s="2" t="s">
        <v>39</v>
      </c>
      <c r="AJ24" s="2">
        <v>0.214</v>
      </c>
      <c r="AK24" s="2">
        <v>584</v>
      </c>
      <c r="AL24" s="2">
        <v>2688</v>
      </c>
      <c r="AM24" s="2" t="s">
        <v>39</v>
      </c>
      <c r="AO24" s="2">
        <v>0.19600000000000001</v>
      </c>
      <c r="AP24" s="2">
        <v>464</v>
      </c>
      <c r="AQ24" s="2">
        <v>2688</v>
      </c>
      <c r="AR24" s="2" t="s">
        <v>39</v>
      </c>
      <c r="AT24" s="2">
        <v>0.19700000000000001</v>
      </c>
      <c r="AU24" s="2">
        <v>464</v>
      </c>
      <c r="AV24" s="2">
        <v>2688</v>
      </c>
      <c r="AW24" s="2" t="s">
        <v>39</v>
      </c>
      <c r="AY24" s="2">
        <v>0.21199999999999999</v>
      </c>
      <c r="AZ24" s="2">
        <v>448</v>
      </c>
      <c r="BA24" s="2">
        <v>2688</v>
      </c>
      <c r="BB24" s="2" t="s">
        <v>39</v>
      </c>
      <c r="BD24" s="2">
        <v>0.19800000000000001</v>
      </c>
      <c r="BE24" s="2">
        <v>488</v>
      </c>
      <c r="BF24" s="2">
        <v>2688</v>
      </c>
      <c r="BG24" s="2" t="s">
        <v>39</v>
      </c>
      <c r="BI24" s="2">
        <v>0.20100000000000001</v>
      </c>
      <c r="BJ24" s="2">
        <v>552</v>
      </c>
      <c r="BK24" s="2">
        <v>2688</v>
      </c>
      <c r="BL24" s="2" t="s">
        <v>39</v>
      </c>
      <c r="BN24" s="2">
        <v>0.24399999999999999</v>
      </c>
      <c r="BO24" s="2">
        <v>656</v>
      </c>
      <c r="BP24" s="2">
        <v>3264</v>
      </c>
      <c r="BQ24" s="2" t="s">
        <v>39</v>
      </c>
      <c r="BS24" s="2">
        <v>0.33200000000000002</v>
      </c>
      <c r="BT24" s="2">
        <v>904</v>
      </c>
      <c r="BU24" s="2">
        <v>4800</v>
      </c>
      <c r="BV24" s="2" t="s">
        <v>39</v>
      </c>
      <c r="BX24" s="2">
        <v>0.432</v>
      </c>
      <c r="BY24" s="2" t="s">
        <v>49</v>
      </c>
      <c r="BZ24" s="2">
        <v>6720</v>
      </c>
      <c r="CA24" s="2" t="s">
        <v>39</v>
      </c>
      <c r="CC24" s="2">
        <v>0.38800000000000001</v>
      </c>
      <c r="CD24" s="2">
        <v>688</v>
      </c>
      <c r="CE24" s="2">
        <v>5568</v>
      </c>
      <c r="CF24" s="2" t="s">
        <v>39</v>
      </c>
      <c r="CH24" s="2">
        <v>0.40400000000000003</v>
      </c>
      <c r="CI24" s="2">
        <v>688</v>
      </c>
      <c r="CJ24" s="2">
        <v>5568</v>
      </c>
      <c r="CK24" s="2" t="s">
        <v>39</v>
      </c>
      <c r="CM24" s="2">
        <v>0.113</v>
      </c>
      <c r="CN24" s="2" t="s">
        <v>150</v>
      </c>
      <c r="CO24" s="2">
        <v>5904</v>
      </c>
      <c r="CP24" s="2" t="s">
        <v>131</v>
      </c>
      <c r="CR24" s="2">
        <v>0.113</v>
      </c>
      <c r="CS24" s="2" t="s">
        <v>60</v>
      </c>
      <c r="CT24" s="2">
        <v>5904</v>
      </c>
      <c r="CU24" s="2" t="s">
        <v>131</v>
      </c>
      <c r="CW24" s="2">
        <v>0.14000000000000001</v>
      </c>
      <c r="CX24" s="2" t="s">
        <v>113</v>
      </c>
      <c r="CY24" s="2">
        <v>8352</v>
      </c>
      <c r="CZ24" s="2" t="s">
        <v>50</v>
      </c>
      <c r="DB24" s="2">
        <v>0.13300000000000001</v>
      </c>
      <c r="DC24" s="2" t="s">
        <v>215</v>
      </c>
      <c r="DD24" s="2">
        <v>8352</v>
      </c>
      <c r="DE24" s="2" t="s">
        <v>50</v>
      </c>
      <c r="DG24" s="2">
        <v>0.59299999999999997</v>
      </c>
      <c r="DH24" s="2" t="s">
        <v>162</v>
      </c>
      <c r="DI24" s="2">
        <v>6677</v>
      </c>
      <c r="DJ24" s="2" t="s">
        <v>34</v>
      </c>
      <c r="DL24" s="2">
        <v>0.114</v>
      </c>
      <c r="DM24" s="3">
        <v>1008</v>
      </c>
      <c r="DN24" s="2">
        <v>7416</v>
      </c>
      <c r="DO24" s="2" t="s">
        <v>50</v>
      </c>
    </row>
    <row r="25" spans="1:119" x14ac:dyDescent="0.2">
      <c r="A25" s="2">
        <v>0.13200000000000001</v>
      </c>
      <c r="B25" s="2" t="s">
        <v>45</v>
      </c>
      <c r="C25" s="2">
        <v>5693</v>
      </c>
      <c r="D25" s="2" t="s">
        <v>46</v>
      </c>
      <c r="F25" s="2">
        <v>0.122</v>
      </c>
      <c r="G25" s="2" t="s">
        <v>56</v>
      </c>
      <c r="H25" s="2">
        <v>6624</v>
      </c>
      <c r="I25" s="2" t="s">
        <v>48</v>
      </c>
      <c r="K25" s="2">
        <v>0.114</v>
      </c>
      <c r="L25" s="2" t="s">
        <v>60</v>
      </c>
      <c r="M25" s="2">
        <v>6540</v>
      </c>
      <c r="N25" s="2" t="s">
        <v>48</v>
      </c>
      <c r="P25" s="2">
        <v>7.5999999999999998E-2</v>
      </c>
      <c r="Q25" s="2" t="s">
        <v>75</v>
      </c>
      <c r="R25" s="2">
        <v>4032</v>
      </c>
      <c r="S25" s="2" t="s">
        <v>48</v>
      </c>
      <c r="U25" s="2">
        <v>0.19500000000000001</v>
      </c>
      <c r="V25" s="2">
        <v>544</v>
      </c>
      <c r="W25" s="2">
        <v>2688</v>
      </c>
      <c r="X25" s="2" t="s">
        <v>42</v>
      </c>
      <c r="Z25" s="2">
        <v>0.191</v>
      </c>
      <c r="AA25" s="2">
        <v>560</v>
      </c>
      <c r="AB25" s="2">
        <v>2688</v>
      </c>
      <c r="AC25" s="2" t="s">
        <v>42</v>
      </c>
      <c r="AE25" s="2">
        <v>0.19600000000000001</v>
      </c>
      <c r="AF25" s="2">
        <v>544</v>
      </c>
      <c r="AG25" s="2">
        <v>2688</v>
      </c>
      <c r="AH25" s="2" t="s">
        <v>42</v>
      </c>
      <c r="AJ25" s="2">
        <v>0.20799999999999999</v>
      </c>
      <c r="AK25" s="2">
        <v>536</v>
      </c>
      <c r="AL25" s="2">
        <v>2688</v>
      </c>
      <c r="AM25" s="2" t="s">
        <v>42</v>
      </c>
      <c r="AO25" s="2">
        <v>0.191</v>
      </c>
      <c r="AP25" s="2">
        <v>560</v>
      </c>
      <c r="AQ25" s="2">
        <v>2688</v>
      </c>
      <c r="AR25" s="2" t="s">
        <v>42</v>
      </c>
      <c r="AT25" s="2">
        <v>0.191</v>
      </c>
      <c r="AU25" s="2">
        <v>544</v>
      </c>
      <c r="AV25" s="2">
        <v>2688</v>
      </c>
      <c r="AW25" s="2" t="s">
        <v>42</v>
      </c>
      <c r="AY25" s="2">
        <v>0.2</v>
      </c>
      <c r="AZ25" s="2">
        <v>560</v>
      </c>
      <c r="BA25" s="2">
        <v>2688</v>
      </c>
      <c r="BB25" s="2" t="s">
        <v>42</v>
      </c>
      <c r="BD25" s="2">
        <v>0.19400000000000001</v>
      </c>
      <c r="BE25" s="2">
        <v>536</v>
      </c>
      <c r="BF25" s="2">
        <v>2688</v>
      </c>
      <c r="BG25" s="2" t="s">
        <v>42</v>
      </c>
      <c r="BI25" s="2">
        <v>0.19400000000000001</v>
      </c>
      <c r="BJ25" s="2">
        <v>464</v>
      </c>
      <c r="BK25" s="2">
        <v>2688</v>
      </c>
      <c r="BL25" s="2" t="s">
        <v>42</v>
      </c>
      <c r="BN25" s="2">
        <v>0.24</v>
      </c>
      <c r="BO25" s="2">
        <v>704</v>
      </c>
      <c r="BP25" s="2">
        <v>3264</v>
      </c>
      <c r="BQ25" s="2" t="s">
        <v>42</v>
      </c>
      <c r="BS25" s="2">
        <v>0.33800000000000002</v>
      </c>
      <c r="BT25" s="2">
        <v>944</v>
      </c>
      <c r="BU25" s="2">
        <v>4992</v>
      </c>
      <c r="BV25" s="2" t="s">
        <v>42</v>
      </c>
      <c r="BX25" s="2">
        <v>0.41399999999999998</v>
      </c>
      <c r="BY25" s="2" t="s">
        <v>49</v>
      </c>
      <c r="BZ25" s="2">
        <v>6528</v>
      </c>
      <c r="CA25" s="2" t="s">
        <v>42</v>
      </c>
      <c r="CC25" s="2">
        <v>0.38600000000000001</v>
      </c>
      <c r="CD25" s="2">
        <v>904</v>
      </c>
      <c r="CE25" s="2">
        <v>5568</v>
      </c>
      <c r="CF25" s="2" t="s">
        <v>42</v>
      </c>
      <c r="CH25" s="2">
        <v>0.39300000000000002</v>
      </c>
      <c r="CI25" s="2">
        <v>904</v>
      </c>
      <c r="CJ25" s="2">
        <v>5568</v>
      </c>
      <c r="CK25" s="2" t="s">
        <v>42</v>
      </c>
      <c r="CM25" s="2">
        <v>6.7000000000000004E-2</v>
      </c>
      <c r="CN25" s="2" t="s">
        <v>226</v>
      </c>
      <c r="CO25" s="2">
        <v>7232</v>
      </c>
      <c r="CP25" s="2" t="s">
        <v>138</v>
      </c>
      <c r="CR25" s="2">
        <v>6.2E-2</v>
      </c>
      <c r="CS25" s="2" t="s">
        <v>133</v>
      </c>
      <c r="CT25" s="2">
        <v>24</v>
      </c>
      <c r="CU25" s="2" t="s">
        <v>134</v>
      </c>
      <c r="CW25" s="2">
        <v>0.11700000000000001</v>
      </c>
      <c r="CX25" s="2" t="s">
        <v>140</v>
      </c>
      <c r="CY25" s="2">
        <v>5904</v>
      </c>
      <c r="CZ25" s="2" t="s">
        <v>131</v>
      </c>
      <c r="DB25" s="2">
        <v>0.109</v>
      </c>
      <c r="DC25" s="2" t="s">
        <v>245</v>
      </c>
      <c r="DD25" s="2">
        <v>4176</v>
      </c>
      <c r="DE25" s="2" t="s">
        <v>238</v>
      </c>
      <c r="DG25" s="2">
        <v>0.59</v>
      </c>
      <c r="DH25" s="2" t="s">
        <v>256</v>
      </c>
      <c r="DI25" s="2">
        <v>6677</v>
      </c>
      <c r="DJ25" s="2" t="s">
        <v>38</v>
      </c>
      <c r="DL25" s="2">
        <v>9.2999999999999999E-2</v>
      </c>
      <c r="DM25" s="2" t="s">
        <v>215</v>
      </c>
      <c r="DN25" s="2">
        <v>4968</v>
      </c>
      <c r="DO25" s="2" t="s">
        <v>131</v>
      </c>
    </row>
    <row r="26" spans="1:119" x14ac:dyDescent="0.2">
      <c r="A26" s="2">
        <v>0.12</v>
      </c>
      <c r="B26" s="2" t="s">
        <v>47</v>
      </c>
      <c r="C26" s="2">
        <v>6624</v>
      </c>
      <c r="D26" s="2" t="s">
        <v>48</v>
      </c>
      <c r="F26" s="2">
        <v>0.113</v>
      </c>
      <c r="G26" s="2" t="s">
        <v>49</v>
      </c>
      <c r="H26" s="2">
        <v>6624</v>
      </c>
      <c r="I26" s="2" t="s">
        <v>50</v>
      </c>
      <c r="K26" s="2">
        <v>0.112</v>
      </c>
      <c r="L26" s="2" t="s">
        <v>47</v>
      </c>
      <c r="M26" s="2">
        <v>6540</v>
      </c>
      <c r="N26" s="2" t="s">
        <v>50</v>
      </c>
      <c r="P26" s="2">
        <v>7.0000000000000007E-2</v>
      </c>
      <c r="Q26" s="2" t="s">
        <v>47</v>
      </c>
      <c r="R26" s="2">
        <v>4032</v>
      </c>
      <c r="S26" s="2" t="s">
        <v>50</v>
      </c>
      <c r="U26" s="2">
        <v>1.131</v>
      </c>
      <c r="V26" s="2" t="s">
        <v>22</v>
      </c>
      <c r="W26" s="2">
        <v>48</v>
      </c>
      <c r="X26" s="2" t="s">
        <v>24</v>
      </c>
      <c r="Z26" s="2">
        <v>1.1180000000000001</v>
      </c>
      <c r="AA26" s="2" t="s">
        <v>22</v>
      </c>
      <c r="AB26" s="2">
        <v>48</v>
      </c>
      <c r="AC26" s="2" t="s">
        <v>24</v>
      </c>
      <c r="AE26" s="2">
        <v>1.06</v>
      </c>
      <c r="AF26" s="2" t="s">
        <v>22</v>
      </c>
      <c r="AG26" s="2">
        <v>48</v>
      </c>
      <c r="AH26" s="2" t="s">
        <v>24</v>
      </c>
      <c r="AJ26" s="2">
        <v>1.1599999999999999</v>
      </c>
      <c r="AK26" s="2" t="s">
        <v>22</v>
      </c>
      <c r="AL26" s="2">
        <v>48</v>
      </c>
      <c r="AM26" s="2" t="s">
        <v>24</v>
      </c>
      <c r="AO26" s="2">
        <v>1.1459999999999999</v>
      </c>
      <c r="AP26" s="2" t="s">
        <v>22</v>
      </c>
      <c r="AQ26" s="2">
        <v>48</v>
      </c>
      <c r="AR26" s="2" t="s">
        <v>24</v>
      </c>
      <c r="AT26" s="2">
        <v>1.171</v>
      </c>
      <c r="AU26" s="2" t="s">
        <v>22</v>
      </c>
      <c r="AV26" s="2">
        <v>48</v>
      </c>
      <c r="AW26" s="2" t="s">
        <v>24</v>
      </c>
      <c r="AY26" s="2">
        <v>1.0720000000000001</v>
      </c>
      <c r="AZ26" s="2" t="s">
        <v>22</v>
      </c>
      <c r="BA26" s="2">
        <v>48</v>
      </c>
      <c r="BB26" s="2" t="s">
        <v>24</v>
      </c>
      <c r="BD26" s="2">
        <v>1.0820000000000001</v>
      </c>
      <c r="BE26" s="2" t="s">
        <v>22</v>
      </c>
      <c r="BF26" s="2">
        <v>48</v>
      </c>
      <c r="BG26" s="2" t="s">
        <v>24</v>
      </c>
      <c r="BI26" s="2">
        <v>1.113</v>
      </c>
      <c r="BJ26" s="2" t="s">
        <v>22</v>
      </c>
      <c r="BK26" s="2">
        <v>48</v>
      </c>
      <c r="BL26" s="2" t="s">
        <v>24</v>
      </c>
      <c r="BN26" s="2">
        <v>1.149</v>
      </c>
      <c r="BO26" s="2" t="s">
        <v>22</v>
      </c>
      <c r="BP26" s="2">
        <v>48</v>
      </c>
      <c r="BQ26" s="2" t="s">
        <v>24</v>
      </c>
      <c r="BS26" s="2">
        <v>1.1259999999999999</v>
      </c>
      <c r="BT26" s="2" t="s">
        <v>22</v>
      </c>
      <c r="BU26" s="2">
        <v>48</v>
      </c>
      <c r="BV26" s="2" t="s">
        <v>24</v>
      </c>
      <c r="BX26" s="2">
        <v>1.091</v>
      </c>
      <c r="BY26" s="2" t="s">
        <v>22</v>
      </c>
      <c r="BZ26" s="2">
        <v>48</v>
      </c>
      <c r="CA26" s="2" t="s">
        <v>24</v>
      </c>
      <c r="CC26" s="2">
        <v>1.119</v>
      </c>
      <c r="CD26" s="2" t="s">
        <v>22</v>
      </c>
      <c r="CE26" s="2">
        <v>48</v>
      </c>
      <c r="CF26" s="2" t="s">
        <v>24</v>
      </c>
      <c r="CH26" s="2">
        <v>1.2090000000000001</v>
      </c>
      <c r="CI26" s="2" t="s">
        <v>22</v>
      </c>
      <c r="CJ26" s="2">
        <v>48</v>
      </c>
      <c r="CK26" s="2" t="s">
        <v>24</v>
      </c>
      <c r="CM26" s="2">
        <v>0.06</v>
      </c>
      <c r="CN26" s="2" t="s">
        <v>227</v>
      </c>
      <c r="CO26" s="2">
        <v>3773</v>
      </c>
      <c r="CP26" s="2" t="s">
        <v>139</v>
      </c>
      <c r="CR26" s="2">
        <v>5.6000000000000001E-2</v>
      </c>
      <c r="CS26" s="2" t="s">
        <v>232</v>
      </c>
      <c r="CT26" s="2">
        <v>6677</v>
      </c>
      <c r="CU26" s="2" t="s">
        <v>138</v>
      </c>
      <c r="CW26" s="2">
        <v>0.111</v>
      </c>
      <c r="CX26" s="2" t="s">
        <v>193</v>
      </c>
      <c r="CY26" s="2">
        <v>4176</v>
      </c>
      <c r="CZ26" s="2" t="s">
        <v>238</v>
      </c>
      <c r="DB26" s="2">
        <v>0.10199999999999999</v>
      </c>
      <c r="DC26" s="2" t="s">
        <v>130</v>
      </c>
      <c r="DD26" s="2">
        <v>5904</v>
      </c>
      <c r="DE26" s="2" t="s">
        <v>131</v>
      </c>
      <c r="DG26" s="2">
        <v>0.57499999999999996</v>
      </c>
      <c r="DH26" s="2" t="s">
        <v>49</v>
      </c>
      <c r="DI26" s="2">
        <v>8352</v>
      </c>
      <c r="DJ26" s="2" t="s">
        <v>42</v>
      </c>
      <c r="DL26" s="2">
        <v>9.1999999999999998E-2</v>
      </c>
      <c r="DM26" s="2" t="s">
        <v>261</v>
      </c>
      <c r="DN26" s="2">
        <v>3708</v>
      </c>
      <c r="DO26" s="2" t="s">
        <v>238</v>
      </c>
    </row>
    <row r="27" spans="1:119" x14ac:dyDescent="0.2">
      <c r="A27" s="2">
        <v>0.111</v>
      </c>
      <c r="B27" s="2" t="s">
        <v>49</v>
      </c>
      <c r="C27" s="2">
        <v>6624</v>
      </c>
      <c r="D27" s="2" t="s">
        <v>50</v>
      </c>
      <c r="F27" s="2">
        <v>0.109</v>
      </c>
      <c r="G27" s="2" t="s">
        <v>57</v>
      </c>
      <c r="H27" s="2">
        <v>5693</v>
      </c>
      <c r="I27" s="2" t="s">
        <v>46</v>
      </c>
      <c r="K27" s="2">
        <v>0.11</v>
      </c>
      <c r="L27" s="2" t="s">
        <v>57</v>
      </c>
      <c r="M27" s="2">
        <v>5649</v>
      </c>
      <c r="N27" s="2" t="s">
        <v>46</v>
      </c>
      <c r="P27" s="2">
        <v>6.8000000000000005E-2</v>
      </c>
      <c r="Q27" s="2" t="s">
        <v>76</v>
      </c>
      <c r="R27" s="2">
        <v>3437</v>
      </c>
      <c r="S27" s="2" t="s">
        <v>46</v>
      </c>
      <c r="U27" s="2">
        <v>1.1419999999999999</v>
      </c>
      <c r="V27" s="2" t="s">
        <v>22</v>
      </c>
      <c r="W27" s="2">
        <v>48</v>
      </c>
      <c r="X27" s="2" t="s">
        <v>23</v>
      </c>
      <c r="Z27" s="2">
        <v>1.1419999999999999</v>
      </c>
      <c r="AA27" s="2" t="s">
        <v>22</v>
      </c>
      <c r="AB27" s="2">
        <v>48</v>
      </c>
      <c r="AC27" s="2" t="s">
        <v>23</v>
      </c>
      <c r="AE27" s="2">
        <v>1.0649999999999999</v>
      </c>
      <c r="AF27" s="2" t="s">
        <v>22</v>
      </c>
      <c r="AG27" s="2">
        <v>48</v>
      </c>
      <c r="AH27" s="2" t="s">
        <v>23</v>
      </c>
      <c r="AJ27" s="2">
        <v>1.1479999999999999</v>
      </c>
      <c r="AK27" s="2" t="s">
        <v>22</v>
      </c>
      <c r="AL27" s="2">
        <v>48</v>
      </c>
      <c r="AM27" s="2" t="s">
        <v>23</v>
      </c>
      <c r="AO27" s="2">
        <v>1.1459999999999999</v>
      </c>
      <c r="AP27" s="2" t="s">
        <v>22</v>
      </c>
      <c r="AQ27" s="2">
        <v>48</v>
      </c>
      <c r="AR27" s="2" t="s">
        <v>23</v>
      </c>
      <c r="AT27" s="2">
        <v>1.1879999999999999</v>
      </c>
      <c r="AU27" s="2" t="s">
        <v>22</v>
      </c>
      <c r="AV27" s="2">
        <v>48</v>
      </c>
      <c r="AW27" s="2" t="s">
        <v>23</v>
      </c>
      <c r="AY27" s="2">
        <v>1.06</v>
      </c>
      <c r="AZ27" s="2" t="s">
        <v>22</v>
      </c>
      <c r="BA27" s="2">
        <v>48</v>
      </c>
      <c r="BB27" s="2" t="s">
        <v>23</v>
      </c>
      <c r="BD27" s="2">
        <v>1.0760000000000001</v>
      </c>
      <c r="BE27" s="2" t="s">
        <v>22</v>
      </c>
      <c r="BF27" s="2">
        <v>48</v>
      </c>
      <c r="BG27" s="2" t="s">
        <v>23</v>
      </c>
      <c r="BI27" s="2">
        <v>1.135</v>
      </c>
      <c r="BJ27" s="2" t="s">
        <v>22</v>
      </c>
      <c r="BK27" s="2">
        <v>48</v>
      </c>
      <c r="BL27" s="2" t="s">
        <v>23</v>
      </c>
      <c r="BN27" s="2">
        <v>1.167</v>
      </c>
      <c r="BO27" s="2" t="s">
        <v>22</v>
      </c>
      <c r="BP27" s="2">
        <v>48</v>
      </c>
      <c r="BQ27" s="2" t="s">
        <v>23</v>
      </c>
      <c r="BS27" s="2">
        <v>1.1719999999999999</v>
      </c>
      <c r="BT27" s="2" t="s">
        <v>22</v>
      </c>
      <c r="BU27" s="2">
        <v>48</v>
      </c>
      <c r="BV27" s="2" t="s">
        <v>23</v>
      </c>
      <c r="BX27" s="2">
        <v>1.121</v>
      </c>
      <c r="BY27" s="2" t="s">
        <v>22</v>
      </c>
      <c r="BZ27" s="2">
        <v>48</v>
      </c>
      <c r="CA27" s="2" t="s">
        <v>23</v>
      </c>
      <c r="CC27" s="2">
        <v>1.127</v>
      </c>
      <c r="CD27" s="2" t="s">
        <v>22</v>
      </c>
      <c r="CE27" s="2">
        <v>48</v>
      </c>
      <c r="CF27" s="2" t="s">
        <v>23</v>
      </c>
      <c r="CH27" s="2">
        <v>1.2070000000000001</v>
      </c>
      <c r="CI27" s="2" t="s">
        <v>22</v>
      </c>
      <c r="CJ27" s="2">
        <v>48</v>
      </c>
      <c r="CK27" s="2" t="s">
        <v>23</v>
      </c>
      <c r="CM27" s="2">
        <v>5.5E-2</v>
      </c>
      <c r="CN27" s="2" t="s">
        <v>181</v>
      </c>
      <c r="CO27" s="2">
        <v>2784</v>
      </c>
      <c r="CP27" s="2" t="s">
        <v>137</v>
      </c>
      <c r="CR27" s="2">
        <v>5.6000000000000001E-2</v>
      </c>
      <c r="CS27" s="2" t="s">
        <v>193</v>
      </c>
      <c r="CT27" s="2">
        <v>2784</v>
      </c>
      <c r="CU27" s="2" t="s">
        <v>137</v>
      </c>
      <c r="CW27" s="2">
        <v>6.9000000000000006E-2</v>
      </c>
      <c r="CX27" s="2">
        <v>288</v>
      </c>
      <c r="CY27" s="2">
        <v>1392</v>
      </c>
      <c r="CZ27" s="2" t="s">
        <v>239</v>
      </c>
      <c r="DB27" s="2">
        <v>7.0999999999999994E-2</v>
      </c>
      <c r="DC27" s="2">
        <v>288</v>
      </c>
      <c r="DD27" s="2">
        <v>1392</v>
      </c>
      <c r="DE27" s="2" t="s">
        <v>246</v>
      </c>
      <c r="DG27" s="2">
        <v>0.32300000000000001</v>
      </c>
      <c r="DH27" s="2" t="s">
        <v>161</v>
      </c>
      <c r="DI27" s="2">
        <v>2268</v>
      </c>
      <c r="DJ27" s="2" t="s">
        <v>41</v>
      </c>
      <c r="DL27" s="2">
        <v>6.7000000000000004E-2</v>
      </c>
      <c r="DM27" s="2">
        <v>288</v>
      </c>
      <c r="DN27" s="2">
        <v>1240</v>
      </c>
      <c r="DO27" s="2" t="s">
        <v>246</v>
      </c>
    </row>
    <row r="29" spans="1:119" x14ac:dyDescent="0.2">
      <c r="A29">
        <f>SUM(A2:A27)</f>
        <v>262.49500000000006</v>
      </c>
      <c r="F29">
        <f>SUM(F2:F27)</f>
        <v>237.87800000000004</v>
      </c>
      <c r="K29">
        <f>SUM(K2:K27)</f>
        <v>236.40800000000007</v>
      </c>
      <c r="P29">
        <f>SUM(P2:P27)</f>
        <v>156.04099999999997</v>
      </c>
      <c r="U29">
        <f>SUM(U2:U27)</f>
        <v>161.97299999999998</v>
      </c>
      <c r="Z29">
        <f>SUM(Z2:Z27)</f>
        <v>156.124</v>
      </c>
      <c r="AE29">
        <f>SUM(AE2:AE27)</f>
        <v>145.29999999999998</v>
      </c>
      <c r="AJ29">
        <f>SUM(AJ2:AJ27)</f>
        <v>153.12599999999995</v>
      </c>
      <c r="AO29">
        <f>SUM(AO2:AO27)</f>
        <v>154.24799999999996</v>
      </c>
      <c r="AT29">
        <f>SUM(AT2:AT27)</f>
        <v>156.77599999999998</v>
      </c>
      <c r="AY29">
        <f>SUM(AY2:AY27)</f>
        <v>145.22800000000001</v>
      </c>
      <c r="BD29">
        <f>SUM(BD2:BD27)</f>
        <v>144.03599999999997</v>
      </c>
      <c r="BI29">
        <f>SUM(BI2:BI27)</f>
        <v>141.37699999999992</v>
      </c>
      <c r="BN29">
        <f>SUM(BN2:BN27)</f>
        <v>177.45600000000002</v>
      </c>
      <c r="BS29">
        <f>SUM(BS2:BS27)</f>
        <v>277.46499999999997</v>
      </c>
      <c r="BX29">
        <f>SUM(BX2:BX27)</f>
        <v>356.69099999999997</v>
      </c>
      <c r="CC29">
        <f>SUM(CC2:CC27)</f>
        <v>292.20200000000011</v>
      </c>
      <c r="CH29">
        <f>SUM(CH2:CH27)</f>
        <v>436.94600000000003</v>
      </c>
      <c r="CM29">
        <f>SUM(CM2:CM27)</f>
        <v>318.55399999999992</v>
      </c>
      <c r="CR29">
        <f>SUM(CR2:CR27)</f>
        <v>294.06399999999996</v>
      </c>
      <c r="CW29">
        <f>SUM(CW2:CW27)</f>
        <v>264.858</v>
      </c>
      <c r="DB29">
        <f>SUM(DB2:DB27)</f>
        <v>259.66700000000003</v>
      </c>
      <c r="DG29">
        <f>SUM(DG2:DG27)</f>
        <v>492.89799999999985</v>
      </c>
      <c r="DL29">
        <f>SUM(DL2:DL27)</f>
        <v>232.22499999999997</v>
      </c>
    </row>
    <row r="31" spans="1:119" x14ac:dyDescent="0.2">
      <c r="A31" t="s">
        <v>51</v>
      </c>
      <c r="F31" t="s">
        <v>51</v>
      </c>
      <c r="K31" t="s">
        <v>51</v>
      </c>
      <c r="P31" t="s">
        <v>63</v>
      </c>
      <c r="U31" t="s">
        <v>63</v>
      </c>
      <c r="Z31" t="s">
        <v>63</v>
      </c>
      <c r="AE31" t="s">
        <v>63</v>
      </c>
      <c r="AJ31" t="s">
        <v>63</v>
      </c>
      <c r="AO31" t="s">
        <v>63</v>
      </c>
      <c r="AT31" t="s">
        <v>63</v>
      </c>
      <c r="AY31" t="s">
        <v>63</v>
      </c>
      <c r="BD31" t="s">
        <v>63</v>
      </c>
      <c r="BI31" t="s">
        <v>63</v>
      </c>
      <c r="BN31" t="s">
        <v>157</v>
      </c>
      <c r="BS31" t="s">
        <v>182</v>
      </c>
      <c r="BX31" t="s">
        <v>195</v>
      </c>
      <c r="CC31" t="s">
        <v>202</v>
      </c>
      <c r="CH31" t="s">
        <v>202</v>
      </c>
      <c r="CM31" t="s">
        <v>202</v>
      </c>
      <c r="CR31" t="s">
        <v>202</v>
      </c>
      <c r="CW31" t="s">
        <v>202</v>
      </c>
      <c r="DB31" t="s">
        <v>202</v>
      </c>
      <c r="DG31" t="s">
        <v>202</v>
      </c>
      <c r="DL31" t="s">
        <v>202</v>
      </c>
    </row>
    <row r="32" spans="1:119" x14ac:dyDescent="0.2">
      <c r="A32">
        <v>20</v>
      </c>
      <c r="F32">
        <v>20</v>
      </c>
      <c r="K32">
        <v>20</v>
      </c>
      <c r="P32">
        <v>8</v>
      </c>
      <c r="U32">
        <v>8</v>
      </c>
      <c r="Z32">
        <v>8</v>
      </c>
      <c r="AE32">
        <v>8</v>
      </c>
      <c r="AJ32">
        <v>8</v>
      </c>
      <c r="AO32">
        <v>8</v>
      </c>
      <c r="AT32">
        <v>8</v>
      </c>
      <c r="AY32">
        <v>8</v>
      </c>
      <c r="BD32">
        <v>8</v>
      </c>
      <c r="BI32">
        <v>8</v>
      </c>
      <c r="BN32">
        <v>15</v>
      </c>
      <c r="BS32">
        <v>25</v>
      </c>
      <c r="BX32">
        <v>40</v>
      </c>
      <c r="CC32">
        <v>40</v>
      </c>
      <c r="CH32">
        <v>40</v>
      </c>
      <c r="CM32">
        <v>40</v>
      </c>
      <c r="CR32">
        <v>40</v>
      </c>
      <c r="CW32">
        <v>40</v>
      </c>
      <c r="DB32">
        <v>40</v>
      </c>
      <c r="DG32">
        <v>40</v>
      </c>
      <c r="DL32">
        <v>40</v>
      </c>
    </row>
    <row r="33" spans="1:116" x14ac:dyDescent="0.2">
      <c r="F33" t="s">
        <v>52</v>
      </c>
      <c r="K33" t="s">
        <v>61</v>
      </c>
      <c r="P33" t="s">
        <v>78</v>
      </c>
      <c r="U33" t="s">
        <v>79</v>
      </c>
      <c r="Z33" t="s">
        <v>145</v>
      </c>
      <c r="AE33" t="s">
        <v>107</v>
      </c>
      <c r="AJ33" t="s">
        <v>114</v>
      </c>
      <c r="AO33" t="s">
        <v>120</v>
      </c>
      <c r="AT33" t="s">
        <v>122</v>
      </c>
      <c r="AY33" t="s">
        <v>147</v>
      </c>
      <c r="BD33" t="s">
        <v>151</v>
      </c>
      <c r="BI33" t="s">
        <v>155</v>
      </c>
      <c r="BN33" t="s">
        <v>158</v>
      </c>
      <c r="BS33" t="s">
        <v>158</v>
      </c>
      <c r="BX33" t="s">
        <v>158</v>
      </c>
      <c r="CC33" t="s">
        <v>203</v>
      </c>
      <c r="CH33" t="s">
        <v>204</v>
      </c>
      <c r="CM33" t="s">
        <v>228</v>
      </c>
      <c r="CR33" t="s">
        <v>233</v>
      </c>
      <c r="CW33" t="s">
        <v>240</v>
      </c>
      <c r="DB33" t="s">
        <v>247</v>
      </c>
      <c r="DG33" t="s">
        <v>259</v>
      </c>
      <c r="DL33" t="s">
        <v>262</v>
      </c>
    </row>
    <row r="34" spans="1:116" x14ac:dyDescent="0.2">
      <c r="F34" t="s">
        <v>58</v>
      </c>
      <c r="K34" t="s">
        <v>62</v>
      </c>
      <c r="P34" t="s">
        <v>77</v>
      </c>
      <c r="U34" t="s">
        <v>88</v>
      </c>
      <c r="Z34" t="s">
        <v>146</v>
      </c>
      <c r="AE34" t="s">
        <v>108</v>
      </c>
      <c r="AJ34" t="s">
        <v>115</v>
      </c>
      <c r="AO34" t="s">
        <v>121</v>
      </c>
      <c r="AT34" t="s">
        <v>121</v>
      </c>
      <c r="AY34" t="s">
        <v>148</v>
      </c>
      <c r="BD34" t="s">
        <v>152</v>
      </c>
      <c r="BI34" t="s">
        <v>156</v>
      </c>
      <c r="BN34" t="s">
        <v>167</v>
      </c>
      <c r="BS34" t="s">
        <v>183</v>
      </c>
      <c r="BX34" t="s">
        <v>196</v>
      </c>
      <c r="CC34" t="s">
        <v>196</v>
      </c>
      <c r="CH34" t="s">
        <v>217</v>
      </c>
      <c r="CM34" t="s">
        <v>229</v>
      </c>
      <c r="CR34" t="s">
        <v>229</v>
      </c>
      <c r="CW34" t="s">
        <v>248</v>
      </c>
      <c r="DB34" t="s">
        <v>249</v>
      </c>
      <c r="DG34" t="s">
        <v>260</v>
      </c>
    </row>
    <row r="35" spans="1:116" x14ac:dyDescent="0.2">
      <c r="A35">
        <v>1</v>
      </c>
      <c r="F35">
        <v>2</v>
      </c>
      <c r="K35">
        <v>3</v>
      </c>
      <c r="P35">
        <v>4</v>
      </c>
      <c r="U35">
        <v>5</v>
      </c>
      <c r="Z35">
        <v>6</v>
      </c>
      <c r="AE35">
        <v>7</v>
      </c>
      <c r="AJ35">
        <v>8</v>
      </c>
      <c r="AO35">
        <v>8</v>
      </c>
      <c r="AT35">
        <v>8</v>
      </c>
      <c r="AY35">
        <v>8</v>
      </c>
      <c r="BD35">
        <v>8</v>
      </c>
      <c r="BI35">
        <v>8</v>
      </c>
      <c r="BN35">
        <v>8</v>
      </c>
      <c r="BS35">
        <v>8</v>
      </c>
      <c r="BX35">
        <v>8</v>
      </c>
      <c r="CC35">
        <v>8</v>
      </c>
      <c r="CH35">
        <v>8</v>
      </c>
      <c r="CM35">
        <v>8</v>
      </c>
      <c r="CR35">
        <v>8</v>
      </c>
      <c r="CW35">
        <v>8</v>
      </c>
    </row>
    <row r="36" spans="1:116" x14ac:dyDescent="0.2">
      <c r="A36" t="s">
        <v>64</v>
      </c>
    </row>
  </sheetData>
  <sortState xmlns:xlrd2="http://schemas.microsoft.com/office/spreadsheetml/2017/richdata2" ref="CM2:CP27">
    <sortCondition descending="1" ref="CM1:CM2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E592D-28B5-2542-B307-2540F6A870F8}">
  <dimension ref="B1:BM39"/>
  <sheetViews>
    <sheetView topLeftCell="AX1" workbookViewId="0">
      <selection activeCell="BJ29" sqref="BJ29:BK39"/>
    </sheetView>
  </sheetViews>
  <sheetFormatPr baseColWidth="10" defaultRowHeight="16" x14ac:dyDescent="0.2"/>
  <sheetData>
    <row r="1" spans="2:65" x14ac:dyDescent="0.2">
      <c r="B1" s="1" t="s">
        <v>0</v>
      </c>
      <c r="C1" s="1" t="s">
        <v>1</v>
      </c>
      <c r="D1" s="1" t="s">
        <v>2</v>
      </c>
      <c r="E1" s="1" t="s">
        <v>3</v>
      </c>
      <c r="G1" s="1" t="s">
        <v>0</v>
      </c>
      <c r="H1" s="1" t="s">
        <v>1</v>
      </c>
      <c r="I1" s="1" t="s">
        <v>2</v>
      </c>
      <c r="J1" s="1" t="s">
        <v>3</v>
      </c>
      <c r="L1" s="1" t="s">
        <v>0</v>
      </c>
      <c r="M1" s="1" t="s">
        <v>1</v>
      </c>
      <c r="N1" s="1" t="s">
        <v>2</v>
      </c>
      <c r="O1" s="1" t="s">
        <v>3</v>
      </c>
      <c r="Q1" s="1" t="s">
        <v>0</v>
      </c>
      <c r="R1" s="1" t="s">
        <v>1</v>
      </c>
      <c r="S1" s="1" t="s">
        <v>2</v>
      </c>
      <c r="T1" s="1" t="s">
        <v>3</v>
      </c>
      <c r="V1" s="1" t="s">
        <v>0</v>
      </c>
      <c r="W1" s="1" t="s">
        <v>1</v>
      </c>
      <c r="X1" s="1" t="s">
        <v>2</v>
      </c>
      <c r="Y1" s="1" t="s">
        <v>3</v>
      </c>
      <c r="AA1" s="1" t="s">
        <v>0</v>
      </c>
      <c r="AB1" s="1" t="s">
        <v>1</v>
      </c>
      <c r="AC1" s="1" t="s">
        <v>2</v>
      </c>
      <c r="AD1" s="1" t="s">
        <v>3</v>
      </c>
      <c r="AF1" s="1" t="s">
        <v>0</v>
      </c>
      <c r="AG1" s="1" t="s">
        <v>1</v>
      </c>
      <c r="AH1" s="1" t="s">
        <v>2</v>
      </c>
      <c r="AI1" s="1" t="s">
        <v>3</v>
      </c>
      <c r="AK1" s="1" t="s">
        <v>0</v>
      </c>
      <c r="AL1" s="1" t="s">
        <v>1</v>
      </c>
      <c r="AM1" s="1" t="s">
        <v>2</v>
      </c>
      <c r="AN1" s="1" t="s">
        <v>3</v>
      </c>
      <c r="AP1" s="1" t="s">
        <v>0</v>
      </c>
      <c r="AQ1" s="1" t="s">
        <v>1</v>
      </c>
      <c r="AR1" s="1" t="s">
        <v>2</v>
      </c>
      <c r="AS1" s="1" t="s">
        <v>3</v>
      </c>
      <c r="AU1" s="1" t="s">
        <v>0</v>
      </c>
      <c r="AV1" s="1" t="s">
        <v>1</v>
      </c>
      <c r="AW1" s="1" t="s">
        <v>2</v>
      </c>
      <c r="AX1" s="1" t="s">
        <v>3</v>
      </c>
      <c r="AZ1" s="1" t="s">
        <v>0</v>
      </c>
      <c r="BA1" s="1" t="s">
        <v>1</v>
      </c>
      <c r="BB1" s="1" t="s">
        <v>2</v>
      </c>
      <c r="BC1" s="1" t="s">
        <v>3</v>
      </c>
      <c r="BE1" s="1" t="s">
        <v>0</v>
      </c>
      <c r="BF1" s="1" t="s">
        <v>1</v>
      </c>
      <c r="BG1" s="1" t="s">
        <v>2</v>
      </c>
      <c r="BH1" s="1" t="s">
        <v>3</v>
      </c>
      <c r="BJ1" s="1" t="s">
        <v>0</v>
      </c>
      <c r="BK1" s="1" t="s">
        <v>1</v>
      </c>
      <c r="BL1" s="1" t="s">
        <v>2</v>
      </c>
      <c r="BM1" s="1" t="s">
        <v>3</v>
      </c>
    </row>
    <row r="2" spans="2:65" x14ac:dyDescent="0.2">
      <c r="B2" s="2">
        <v>754.23199999999997</v>
      </c>
      <c r="C2" s="2" t="s">
        <v>263</v>
      </c>
      <c r="D2" s="2">
        <v>5869007</v>
      </c>
      <c r="E2" s="2" t="s">
        <v>7</v>
      </c>
      <c r="G2" s="2">
        <v>1614.2539999999999</v>
      </c>
      <c r="H2" s="2" t="s">
        <v>290</v>
      </c>
      <c r="I2" s="2">
        <v>11731711</v>
      </c>
      <c r="J2" s="2" t="s">
        <v>7</v>
      </c>
      <c r="L2" s="2">
        <v>267.952</v>
      </c>
      <c r="M2" s="2" t="s">
        <v>304</v>
      </c>
      <c r="N2" s="2">
        <v>1666777</v>
      </c>
      <c r="O2" s="2" t="s">
        <v>7</v>
      </c>
      <c r="Q2" s="2">
        <v>162.14099999999999</v>
      </c>
      <c r="R2" s="2" t="s">
        <v>263</v>
      </c>
      <c r="S2" s="2">
        <v>1136550</v>
      </c>
      <c r="T2" s="2" t="s">
        <v>7</v>
      </c>
      <c r="V2" s="2">
        <v>149.96799999999999</v>
      </c>
      <c r="W2" s="2" t="s">
        <v>263</v>
      </c>
      <c r="X2" s="2">
        <v>1135968</v>
      </c>
      <c r="Y2" s="2" t="s">
        <v>7</v>
      </c>
      <c r="AA2" s="2">
        <v>151.428</v>
      </c>
      <c r="AB2" s="2" t="s">
        <v>263</v>
      </c>
      <c r="AC2" s="2">
        <v>1131238</v>
      </c>
      <c r="AD2" s="2" t="s">
        <v>7</v>
      </c>
      <c r="AF2" s="2">
        <v>595.66600000000005</v>
      </c>
      <c r="AG2" s="2" t="s">
        <v>348</v>
      </c>
      <c r="AH2" s="2">
        <v>3107103</v>
      </c>
      <c r="AI2" s="2" t="s">
        <v>7</v>
      </c>
      <c r="AK2" s="2">
        <v>730.44200000000001</v>
      </c>
      <c r="AL2" s="2" t="s">
        <v>348</v>
      </c>
      <c r="AM2" s="2">
        <v>5376900</v>
      </c>
      <c r="AN2" s="2" t="s">
        <v>7</v>
      </c>
      <c r="AP2" s="2">
        <v>136.85599999999999</v>
      </c>
      <c r="AQ2" s="2" t="s">
        <v>371</v>
      </c>
      <c r="AR2" s="2">
        <v>1131782</v>
      </c>
      <c r="AS2" s="2" t="s">
        <v>7</v>
      </c>
      <c r="AU2" s="2">
        <v>153.63</v>
      </c>
      <c r="AV2" s="2" t="s">
        <v>348</v>
      </c>
      <c r="AW2" s="2">
        <v>1131772</v>
      </c>
      <c r="AX2" s="2" t="s">
        <v>7</v>
      </c>
      <c r="AZ2" s="2">
        <v>109.38500000000001</v>
      </c>
      <c r="BA2" s="2" t="s">
        <v>382</v>
      </c>
      <c r="BB2" s="2">
        <v>222</v>
      </c>
      <c r="BC2" s="2" t="s">
        <v>312</v>
      </c>
      <c r="BE2" s="2">
        <v>140.37100000000001</v>
      </c>
      <c r="BF2" s="2" t="s">
        <v>348</v>
      </c>
      <c r="BG2" s="2">
        <v>1128984</v>
      </c>
      <c r="BH2" s="2" t="s">
        <v>7</v>
      </c>
      <c r="BJ2" s="2">
        <v>139.33699999999999</v>
      </c>
      <c r="BK2" s="2" t="s">
        <v>348</v>
      </c>
      <c r="BL2" s="2">
        <v>1131108</v>
      </c>
      <c r="BM2" s="2" t="s">
        <v>7</v>
      </c>
    </row>
    <row r="3" spans="2:65" x14ac:dyDescent="0.2">
      <c r="B3" s="2">
        <v>105.416</v>
      </c>
      <c r="C3" s="2" t="s">
        <v>90</v>
      </c>
      <c r="D3" s="2">
        <v>131779</v>
      </c>
      <c r="E3" s="2" t="s">
        <v>9</v>
      </c>
      <c r="G3" s="2">
        <v>223.86</v>
      </c>
      <c r="H3" s="2" t="s">
        <v>90</v>
      </c>
      <c r="I3" s="2">
        <v>258998</v>
      </c>
      <c r="J3" s="2" t="s">
        <v>9</v>
      </c>
      <c r="L3" s="2">
        <v>28.585999999999999</v>
      </c>
      <c r="M3" s="2" t="s">
        <v>264</v>
      </c>
      <c r="N3" s="2">
        <v>5258</v>
      </c>
      <c r="O3" s="2" t="s">
        <v>265</v>
      </c>
      <c r="Q3" s="2">
        <v>18.384</v>
      </c>
      <c r="R3" s="2" t="s">
        <v>264</v>
      </c>
      <c r="S3" s="2">
        <v>3254</v>
      </c>
      <c r="T3" s="2" t="s">
        <v>265</v>
      </c>
      <c r="V3" s="2">
        <v>23.395</v>
      </c>
      <c r="W3" s="2" t="s">
        <v>10</v>
      </c>
      <c r="X3" s="2">
        <v>28762</v>
      </c>
      <c r="Y3" s="2" t="s">
        <v>9</v>
      </c>
      <c r="AA3" s="2">
        <v>24.273</v>
      </c>
      <c r="AB3" s="2" t="s">
        <v>10</v>
      </c>
      <c r="AC3" s="2">
        <v>27828</v>
      </c>
      <c r="AD3" s="2" t="s">
        <v>9</v>
      </c>
      <c r="AF3" s="2">
        <v>149.80500000000001</v>
      </c>
      <c r="AG3" s="2" t="s">
        <v>212</v>
      </c>
      <c r="AH3" s="2">
        <v>1093</v>
      </c>
      <c r="AI3" s="2" t="s">
        <v>305</v>
      </c>
      <c r="AK3" s="2">
        <v>164.50399999999999</v>
      </c>
      <c r="AL3" s="2" t="s">
        <v>208</v>
      </c>
      <c r="AM3" s="2">
        <v>158451</v>
      </c>
      <c r="AN3" s="2" t="s">
        <v>9</v>
      </c>
      <c r="AP3" s="2">
        <v>20.49</v>
      </c>
      <c r="AQ3" s="2" t="s">
        <v>10</v>
      </c>
      <c r="AR3" s="2">
        <v>28372</v>
      </c>
      <c r="AS3" s="2" t="s">
        <v>9</v>
      </c>
      <c r="AU3" s="2">
        <v>23.63</v>
      </c>
      <c r="AV3" s="2" t="s">
        <v>10</v>
      </c>
      <c r="AW3" s="2">
        <v>28372</v>
      </c>
      <c r="AX3" s="2" t="s">
        <v>9</v>
      </c>
      <c r="AZ3" s="2">
        <v>100.807</v>
      </c>
      <c r="BA3" s="2" t="s">
        <v>29</v>
      </c>
      <c r="BB3" s="2">
        <v>222</v>
      </c>
      <c r="BC3" s="2" t="s">
        <v>314</v>
      </c>
      <c r="BE3" s="2">
        <v>23.231999999999999</v>
      </c>
      <c r="BF3" s="2" t="s">
        <v>205</v>
      </c>
      <c r="BG3" s="2">
        <v>28924</v>
      </c>
      <c r="BH3" s="2" t="s">
        <v>9</v>
      </c>
      <c r="BJ3" s="2">
        <v>21.59</v>
      </c>
      <c r="BK3" s="2" t="s">
        <v>10</v>
      </c>
      <c r="BL3" s="2">
        <v>27706</v>
      </c>
      <c r="BM3" s="2" t="s">
        <v>9</v>
      </c>
    </row>
    <row r="4" spans="2:65" x14ac:dyDescent="0.2">
      <c r="B4" s="2">
        <v>90.831999999999994</v>
      </c>
      <c r="C4" s="2" t="s">
        <v>264</v>
      </c>
      <c r="D4" s="2">
        <v>19144</v>
      </c>
      <c r="E4" s="2" t="s">
        <v>265</v>
      </c>
      <c r="G4" s="2">
        <v>198.405</v>
      </c>
      <c r="H4" s="2" t="s">
        <v>291</v>
      </c>
      <c r="I4" s="2">
        <v>38286</v>
      </c>
      <c r="J4" s="2" t="s">
        <v>265</v>
      </c>
      <c r="L4" s="2">
        <v>25.273</v>
      </c>
      <c r="M4" s="2" t="s">
        <v>10</v>
      </c>
      <c r="N4" s="2">
        <v>37663</v>
      </c>
      <c r="O4" s="2" t="s">
        <v>9</v>
      </c>
      <c r="Q4" s="2">
        <v>18.372</v>
      </c>
      <c r="R4" s="2" t="s">
        <v>10</v>
      </c>
      <c r="S4" s="2">
        <v>29156</v>
      </c>
      <c r="T4" s="2" t="s">
        <v>9</v>
      </c>
      <c r="V4" s="2">
        <v>17.75</v>
      </c>
      <c r="W4" s="2" t="s">
        <v>264</v>
      </c>
      <c r="X4" s="2">
        <v>3254</v>
      </c>
      <c r="Y4" s="2" t="s">
        <v>265</v>
      </c>
      <c r="AA4" s="2">
        <v>16.173999999999999</v>
      </c>
      <c r="AB4" s="2" t="s">
        <v>264</v>
      </c>
      <c r="AC4" s="2">
        <v>3238</v>
      </c>
      <c r="AD4" s="2" t="s">
        <v>265</v>
      </c>
      <c r="AF4" s="2">
        <v>130.56299999999999</v>
      </c>
      <c r="AG4" s="2" t="s">
        <v>349</v>
      </c>
      <c r="AH4" s="2">
        <v>150392</v>
      </c>
      <c r="AI4" s="2" t="s">
        <v>9</v>
      </c>
      <c r="AK4" s="2">
        <v>99.082999999999998</v>
      </c>
      <c r="AL4" s="2" t="s">
        <v>358</v>
      </c>
      <c r="AM4" s="2">
        <v>1248</v>
      </c>
      <c r="AN4" s="2" t="s">
        <v>267</v>
      </c>
      <c r="AP4" s="2">
        <v>14.619</v>
      </c>
      <c r="AQ4" s="2" t="s">
        <v>264</v>
      </c>
      <c r="AR4" s="2">
        <v>3238</v>
      </c>
      <c r="AS4" s="2" t="s">
        <v>265</v>
      </c>
      <c r="AU4" s="2">
        <v>16.201000000000001</v>
      </c>
      <c r="AV4" s="2" t="s">
        <v>264</v>
      </c>
      <c r="AW4" s="2">
        <v>3238</v>
      </c>
      <c r="AX4" s="2" t="s">
        <v>265</v>
      </c>
      <c r="AZ4" s="2">
        <v>35.097000000000001</v>
      </c>
      <c r="BA4" s="2" t="s">
        <v>383</v>
      </c>
      <c r="BB4" s="2">
        <v>46224</v>
      </c>
      <c r="BC4" s="2" t="s">
        <v>9</v>
      </c>
      <c r="BE4" s="2">
        <v>15.305</v>
      </c>
      <c r="BF4" s="2" t="s">
        <v>264</v>
      </c>
      <c r="BG4" s="2">
        <v>3244</v>
      </c>
      <c r="BH4" s="2" t="s">
        <v>265</v>
      </c>
      <c r="BJ4" s="2">
        <v>15.614000000000001</v>
      </c>
      <c r="BK4" s="2" t="s">
        <v>264</v>
      </c>
      <c r="BL4" s="2">
        <v>3238</v>
      </c>
      <c r="BM4" s="2" t="s">
        <v>265</v>
      </c>
    </row>
    <row r="5" spans="2:65" x14ac:dyDescent="0.2">
      <c r="B5" s="2">
        <v>54.610999999999997</v>
      </c>
      <c r="C5" s="2" t="s">
        <v>266</v>
      </c>
      <c r="D5" s="2">
        <v>1416</v>
      </c>
      <c r="E5" s="2" t="s">
        <v>267</v>
      </c>
      <c r="G5" s="2">
        <v>105.562</v>
      </c>
      <c r="H5" s="2" t="s">
        <v>266</v>
      </c>
      <c r="I5" s="2">
        <v>2832</v>
      </c>
      <c r="J5" s="2" t="s">
        <v>267</v>
      </c>
      <c r="L5" s="2">
        <v>17.058</v>
      </c>
      <c r="M5" s="2" t="s">
        <v>266</v>
      </c>
      <c r="N5" s="2">
        <v>394</v>
      </c>
      <c r="O5" s="2" t="s">
        <v>305</v>
      </c>
      <c r="Q5" s="2">
        <v>11.02</v>
      </c>
      <c r="R5" s="2" t="s">
        <v>266</v>
      </c>
      <c r="S5" s="2">
        <v>261</v>
      </c>
      <c r="T5" s="2" t="s">
        <v>305</v>
      </c>
      <c r="V5" s="2">
        <v>10.579000000000001</v>
      </c>
      <c r="W5" s="2" t="s">
        <v>266</v>
      </c>
      <c r="X5" s="2">
        <v>261</v>
      </c>
      <c r="Y5" s="2" t="s">
        <v>305</v>
      </c>
      <c r="AA5" s="2">
        <v>9.6210000000000004</v>
      </c>
      <c r="AB5" s="2" t="s">
        <v>266</v>
      </c>
      <c r="AC5" s="2">
        <v>256</v>
      </c>
      <c r="AD5" s="2" t="s">
        <v>267</v>
      </c>
      <c r="AF5" s="2">
        <v>41.762999999999998</v>
      </c>
      <c r="AG5" s="2" t="s">
        <v>350</v>
      </c>
      <c r="AH5" s="2">
        <v>42750</v>
      </c>
      <c r="AI5" s="2" t="s">
        <v>265</v>
      </c>
      <c r="AK5" s="2">
        <v>82.873000000000005</v>
      </c>
      <c r="AL5" s="2" t="s">
        <v>264</v>
      </c>
      <c r="AM5" s="2">
        <v>20638</v>
      </c>
      <c r="AN5" s="2" t="s">
        <v>265</v>
      </c>
      <c r="AP5" s="2">
        <v>9.1869999999999994</v>
      </c>
      <c r="AQ5" s="2" t="s">
        <v>266</v>
      </c>
      <c r="AR5" s="2">
        <v>256</v>
      </c>
      <c r="AS5" s="2" t="s">
        <v>267</v>
      </c>
      <c r="AU5" s="2">
        <v>9.7129999999999992</v>
      </c>
      <c r="AV5" s="2" t="s">
        <v>266</v>
      </c>
      <c r="AW5" s="2">
        <v>256</v>
      </c>
      <c r="AX5" s="2" t="s">
        <v>267</v>
      </c>
      <c r="AZ5" s="2">
        <v>28.48</v>
      </c>
      <c r="BA5" s="2" t="s">
        <v>174</v>
      </c>
      <c r="BB5" s="2">
        <v>262796</v>
      </c>
      <c r="BC5" s="2" t="s">
        <v>7</v>
      </c>
      <c r="BE5" s="2">
        <v>8.4589999999999996</v>
      </c>
      <c r="BF5" s="2" t="s">
        <v>189</v>
      </c>
      <c r="BG5" s="2">
        <v>256</v>
      </c>
      <c r="BH5" s="2" t="s">
        <v>267</v>
      </c>
      <c r="BJ5" s="2">
        <v>8.7110000000000003</v>
      </c>
      <c r="BK5" s="2" t="s">
        <v>266</v>
      </c>
      <c r="BL5" s="2">
        <v>256</v>
      </c>
      <c r="BM5" s="2" t="s">
        <v>267</v>
      </c>
    </row>
    <row r="6" spans="2:65" x14ac:dyDescent="0.2">
      <c r="B6" s="2">
        <v>8.6859999999999999</v>
      </c>
      <c r="C6" s="2" t="s">
        <v>68</v>
      </c>
      <c r="D6" s="2">
        <v>4248</v>
      </c>
      <c r="E6" s="2" t="s">
        <v>268</v>
      </c>
      <c r="G6" s="2">
        <v>20.509</v>
      </c>
      <c r="H6" s="2" t="s">
        <v>68</v>
      </c>
      <c r="I6" s="2">
        <v>8496</v>
      </c>
      <c r="J6" s="2" t="s">
        <v>268</v>
      </c>
      <c r="L6" s="2">
        <v>3.6080000000000001</v>
      </c>
      <c r="M6" s="2" t="s">
        <v>16</v>
      </c>
      <c r="N6" s="2">
        <v>25027</v>
      </c>
      <c r="O6" s="2" t="s">
        <v>13</v>
      </c>
      <c r="Q6" s="2">
        <v>2.3079999999999998</v>
      </c>
      <c r="R6" s="2" t="s">
        <v>16</v>
      </c>
      <c r="S6" s="2">
        <v>17172</v>
      </c>
      <c r="T6" s="2" t="s">
        <v>13</v>
      </c>
      <c r="V6" s="2">
        <v>2.294</v>
      </c>
      <c r="W6" s="2" t="s">
        <v>306</v>
      </c>
      <c r="X6" s="2">
        <v>594</v>
      </c>
      <c r="Y6" s="2" t="s">
        <v>238</v>
      </c>
      <c r="AA6" s="2">
        <v>2.0699999999999998</v>
      </c>
      <c r="AB6" s="2" t="s">
        <v>341</v>
      </c>
      <c r="AC6" s="2">
        <v>576</v>
      </c>
      <c r="AD6" s="2" t="s">
        <v>238</v>
      </c>
      <c r="AF6" s="2">
        <v>30.428999999999998</v>
      </c>
      <c r="AG6" s="2" t="s">
        <v>179</v>
      </c>
      <c r="AH6" s="2">
        <v>2400</v>
      </c>
      <c r="AI6" s="2" t="s">
        <v>238</v>
      </c>
      <c r="AK6" s="2">
        <v>22.72</v>
      </c>
      <c r="AL6" s="2" t="s">
        <v>359</v>
      </c>
      <c r="AM6" s="2">
        <v>2808</v>
      </c>
      <c r="AN6" s="2" t="s">
        <v>238</v>
      </c>
      <c r="AP6" s="2">
        <v>2.012</v>
      </c>
      <c r="AQ6" s="2" t="s">
        <v>66</v>
      </c>
      <c r="AR6" s="2">
        <v>16311</v>
      </c>
      <c r="AS6" s="2" t="s">
        <v>13</v>
      </c>
      <c r="AU6" s="2">
        <v>2.2480000000000002</v>
      </c>
      <c r="AV6" s="2" t="s">
        <v>341</v>
      </c>
      <c r="AW6" s="2">
        <v>576</v>
      </c>
      <c r="AX6" s="2" t="s">
        <v>238</v>
      </c>
      <c r="AZ6" s="2">
        <v>24.372</v>
      </c>
      <c r="BA6" s="2" t="s">
        <v>311</v>
      </c>
      <c r="BB6" s="2">
        <v>48</v>
      </c>
      <c r="BC6" s="2" t="s">
        <v>250</v>
      </c>
      <c r="BE6" s="2">
        <v>1.9610000000000001</v>
      </c>
      <c r="BF6" s="2" t="s">
        <v>66</v>
      </c>
      <c r="BG6" s="2">
        <v>16311</v>
      </c>
      <c r="BH6" s="2" t="s">
        <v>13</v>
      </c>
      <c r="BJ6" s="2">
        <v>2.0979999999999999</v>
      </c>
      <c r="BK6" s="2" t="s">
        <v>341</v>
      </c>
      <c r="BL6" s="2">
        <v>576</v>
      </c>
      <c r="BM6" s="2" t="s">
        <v>238</v>
      </c>
    </row>
    <row r="7" spans="2:65" x14ac:dyDescent="0.2">
      <c r="B7" s="2">
        <v>7.9790000000000001</v>
      </c>
      <c r="C7" s="2" t="s">
        <v>269</v>
      </c>
      <c r="D7" s="2">
        <v>2124</v>
      </c>
      <c r="E7" s="2" t="s">
        <v>238</v>
      </c>
      <c r="G7" s="2">
        <v>17.625</v>
      </c>
      <c r="H7" s="2" t="s">
        <v>271</v>
      </c>
      <c r="I7" s="2">
        <v>12758</v>
      </c>
      <c r="J7" s="2" t="s">
        <v>272</v>
      </c>
      <c r="L7" s="2">
        <v>3.2549999999999999</v>
      </c>
      <c r="M7" s="2" t="s">
        <v>68</v>
      </c>
      <c r="N7" s="2">
        <v>1152</v>
      </c>
      <c r="O7" s="2" t="s">
        <v>268</v>
      </c>
      <c r="Q7" s="2">
        <v>2.2799999999999998</v>
      </c>
      <c r="R7" s="2" t="s">
        <v>306</v>
      </c>
      <c r="S7" s="2">
        <v>594</v>
      </c>
      <c r="T7" s="2" t="s">
        <v>238</v>
      </c>
      <c r="V7" s="2">
        <v>2.2120000000000002</v>
      </c>
      <c r="W7" s="2" t="s">
        <v>66</v>
      </c>
      <c r="X7" s="2">
        <v>17172</v>
      </c>
      <c r="Y7" s="2" t="s">
        <v>13</v>
      </c>
      <c r="AA7" s="2">
        <v>2.0150000000000001</v>
      </c>
      <c r="AB7" s="2" t="s">
        <v>66</v>
      </c>
      <c r="AC7" s="2">
        <v>16311</v>
      </c>
      <c r="AD7" s="2" t="s">
        <v>13</v>
      </c>
      <c r="AF7" s="2">
        <v>22.552</v>
      </c>
      <c r="AG7" s="2" t="s">
        <v>351</v>
      </c>
      <c r="AH7" s="2">
        <v>3264</v>
      </c>
      <c r="AI7" s="2" t="s">
        <v>268</v>
      </c>
      <c r="AK7" s="2">
        <v>18.199000000000002</v>
      </c>
      <c r="AL7" s="2" t="s">
        <v>360</v>
      </c>
      <c r="AM7" s="2">
        <v>3744</v>
      </c>
      <c r="AN7" s="2" t="s">
        <v>268</v>
      </c>
      <c r="AP7" s="2">
        <v>1.982</v>
      </c>
      <c r="AQ7" s="2" t="s">
        <v>341</v>
      </c>
      <c r="AR7" s="2">
        <v>576</v>
      </c>
      <c r="AS7" s="2" t="s">
        <v>238</v>
      </c>
      <c r="AU7" s="2">
        <v>2.17</v>
      </c>
      <c r="AV7" s="2" t="s">
        <v>66</v>
      </c>
      <c r="AW7" s="2">
        <v>16317</v>
      </c>
      <c r="AX7" s="2" t="s">
        <v>13</v>
      </c>
      <c r="AZ7" s="2">
        <v>13.42</v>
      </c>
      <c r="BA7" s="2" t="s">
        <v>384</v>
      </c>
      <c r="BB7" s="2">
        <v>752</v>
      </c>
      <c r="BC7" s="2" t="s">
        <v>310</v>
      </c>
      <c r="BE7" s="2">
        <v>1.8680000000000001</v>
      </c>
      <c r="BF7" s="2" t="s">
        <v>402</v>
      </c>
      <c r="BG7" s="2">
        <v>576</v>
      </c>
      <c r="BH7" s="2" t="s">
        <v>238</v>
      </c>
      <c r="BJ7" s="2">
        <v>2.0550000000000002</v>
      </c>
      <c r="BK7" s="2" t="s">
        <v>66</v>
      </c>
      <c r="BL7" s="2">
        <v>16311</v>
      </c>
      <c r="BM7" s="2" t="s">
        <v>13</v>
      </c>
    </row>
    <row r="8" spans="2:65" x14ac:dyDescent="0.2">
      <c r="B8" s="2">
        <v>5.7130000000000001</v>
      </c>
      <c r="C8" s="2" t="s">
        <v>6</v>
      </c>
      <c r="D8" s="2">
        <v>58393</v>
      </c>
      <c r="E8" s="2" t="s">
        <v>11</v>
      </c>
      <c r="G8" s="2">
        <v>16.497</v>
      </c>
      <c r="H8" s="2" t="s">
        <v>292</v>
      </c>
      <c r="I8" s="2">
        <v>4248</v>
      </c>
      <c r="J8" s="2" t="s">
        <v>238</v>
      </c>
      <c r="L8" s="2">
        <v>3.07</v>
      </c>
      <c r="M8" s="2" t="s">
        <v>179</v>
      </c>
      <c r="N8" s="2">
        <v>23678</v>
      </c>
      <c r="O8" s="2" t="s">
        <v>11</v>
      </c>
      <c r="Q8" s="2">
        <v>1.976</v>
      </c>
      <c r="R8" s="2" t="s">
        <v>179</v>
      </c>
      <c r="S8" s="2">
        <v>16175</v>
      </c>
      <c r="T8" s="2" t="s">
        <v>11</v>
      </c>
      <c r="V8" s="2">
        <v>1.889</v>
      </c>
      <c r="W8" s="2" t="s">
        <v>179</v>
      </c>
      <c r="X8" s="2">
        <v>16175</v>
      </c>
      <c r="Y8" s="2" t="s">
        <v>11</v>
      </c>
      <c r="AA8" s="2">
        <v>1.706</v>
      </c>
      <c r="AB8" s="2" t="s">
        <v>161</v>
      </c>
      <c r="AC8" s="2">
        <v>15488</v>
      </c>
      <c r="AD8" s="2" t="s">
        <v>11</v>
      </c>
      <c r="AF8" s="2">
        <v>9.6780000000000008</v>
      </c>
      <c r="AG8" s="2" t="s">
        <v>317</v>
      </c>
      <c r="AH8" s="2">
        <v>15</v>
      </c>
      <c r="AI8" s="2" t="s">
        <v>314</v>
      </c>
      <c r="AK8" s="2">
        <v>9.7439999999999998</v>
      </c>
      <c r="AL8" s="2" t="s">
        <v>124</v>
      </c>
      <c r="AM8" s="2">
        <v>72905</v>
      </c>
      <c r="AN8" s="2" t="s">
        <v>13</v>
      </c>
      <c r="AP8" s="2">
        <v>1.7250000000000001</v>
      </c>
      <c r="AQ8" s="2" t="s">
        <v>161</v>
      </c>
      <c r="AR8" s="2">
        <v>15488</v>
      </c>
      <c r="AS8" s="2" t="s">
        <v>11</v>
      </c>
      <c r="AU8" s="2">
        <v>1.843</v>
      </c>
      <c r="AV8" s="2" t="s">
        <v>40</v>
      </c>
      <c r="AW8" s="2">
        <v>15488</v>
      </c>
      <c r="AX8" s="2" t="s">
        <v>11</v>
      </c>
      <c r="AZ8" s="2">
        <v>10.705</v>
      </c>
      <c r="BA8" s="2" t="s">
        <v>385</v>
      </c>
      <c r="BB8" s="2">
        <v>600</v>
      </c>
      <c r="BC8" s="2" t="s">
        <v>355</v>
      </c>
      <c r="BE8" s="2">
        <v>1.6579999999999999</v>
      </c>
      <c r="BF8" s="2" t="s">
        <v>40</v>
      </c>
      <c r="BG8" s="2">
        <v>15488</v>
      </c>
      <c r="BH8" s="2" t="s">
        <v>11</v>
      </c>
      <c r="BJ8" s="2">
        <v>1.7410000000000001</v>
      </c>
      <c r="BK8" s="2" t="s">
        <v>40</v>
      </c>
      <c r="BL8" s="2">
        <v>15488</v>
      </c>
      <c r="BM8" s="2" t="s">
        <v>11</v>
      </c>
    </row>
    <row r="9" spans="2:65" x14ac:dyDescent="0.2">
      <c r="B9" s="2">
        <v>5.1559999999999997</v>
      </c>
      <c r="C9" s="2" t="s">
        <v>270</v>
      </c>
      <c r="D9" s="2">
        <v>45265</v>
      </c>
      <c r="E9" s="2" t="s">
        <v>13</v>
      </c>
      <c r="G9" s="2">
        <v>14.180999999999999</v>
      </c>
      <c r="H9" s="2" t="s">
        <v>6</v>
      </c>
      <c r="I9" s="2">
        <v>116384</v>
      </c>
      <c r="J9" s="2" t="s">
        <v>11</v>
      </c>
      <c r="L9" s="2">
        <v>2.6179999999999999</v>
      </c>
      <c r="M9" s="2" t="s">
        <v>84</v>
      </c>
      <c r="N9" s="2">
        <v>1742</v>
      </c>
      <c r="O9" s="2" t="s">
        <v>272</v>
      </c>
      <c r="Q9" s="2">
        <v>1.843</v>
      </c>
      <c r="R9" s="2" t="s">
        <v>68</v>
      </c>
      <c r="S9" s="2">
        <v>768</v>
      </c>
      <c r="T9" s="2" t="s">
        <v>268</v>
      </c>
      <c r="V9" s="2">
        <v>1.605</v>
      </c>
      <c r="W9" s="2" t="s">
        <v>68</v>
      </c>
      <c r="X9" s="2">
        <v>768</v>
      </c>
      <c r="Y9" s="2" t="s">
        <v>268</v>
      </c>
      <c r="AA9" s="2">
        <v>1.5269999999999999</v>
      </c>
      <c r="AB9" s="2" t="s">
        <v>68</v>
      </c>
      <c r="AC9" s="2">
        <v>768</v>
      </c>
      <c r="AD9" s="2" t="s">
        <v>268</v>
      </c>
      <c r="AF9" s="2">
        <v>9.298</v>
      </c>
      <c r="AG9" s="2" t="s">
        <v>352</v>
      </c>
      <c r="AH9" s="2">
        <v>43649</v>
      </c>
      <c r="AI9" s="2" t="s">
        <v>273</v>
      </c>
      <c r="AK9" s="2">
        <v>8.3219999999999992</v>
      </c>
      <c r="AL9" s="2" t="s">
        <v>361</v>
      </c>
      <c r="AM9" s="2">
        <v>69932</v>
      </c>
      <c r="AN9" s="2" t="s">
        <v>11</v>
      </c>
      <c r="AP9" s="2">
        <v>1.5740000000000001</v>
      </c>
      <c r="AQ9" s="2" t="s">
        <v>68</v>
      </c>
      <c r="AR9" s="2">
        <v>768</v>
      </c>
      <c r="AS9" s="2" t="s">
        <v>268</v>
      </c>
      <c r="AU9" s="2">
        <v>1.63</v>
      </c>
      <c r="AV9" s="2" t="s">
        <v>68</v>
      </c>
      <c r="AW9" s="2">
        <v>768</v>
      </c>
      <c r="AX9" s="2" t="s">
        <v>268</v>
      </c>
      <c r="AZ9" s="2">
        <v>10.141</v>
      </c>
      <c r="BA9" s="2" t="s">
        <v>179</v>
      </c>
      <c r="BB9" s="2">
        <v>2304</v>
      </c>
      <c r="BC9" s="2" t="s">
        <v>238</v>
      </c>
      <c r="BE9" s="2">
        <v>1.5529999999999999</v>
      </c>
      <c r="BF9" s="2" t="s">
        <v>211</v>
      </c>
      <c r="BG9" s="2">
        <v>768</v>
      </c>
      <c r="BH9" s="2" t="s">
        <v>268</v>
      </c>
      <c r="BJ9" s="2">
        <v>1.665</v>
      </c>
      <c r="BK9" s="2" t="s">
        <v>68</v>
      </c>
      <c r="BL9" s="2">
        <v>768</v>
      </c>
      <c r="BM9" s="2" t="s">
        <v>268</v>
      </c>
    </row>
    <row r="10" spans="2:65" x14ac:dyDescent="0.2">
      <c r="B10" s="2">
        <v>4.22</v>
      </c>
      <c r="C10" s="2" t="s">
        <v>271</v>
      </c>
      <c r="D10" s="2">
        <v>6379</v>
      </c>
      <c r="E10" s="2" t="s">
        <v>272</v>
      </c>
      <c r="G10" s="2">
        <v>13.061999999999999</v>
      </c>
      <c r="H10" s="2" t="s">
        <v>270</v>
      </c>
      <c r="I10" s="2">
        <v>90043</v>
      </c>
      <c r="J10" s="2" t="s">
        <v>13</v>
      </c>
      <c r="L10" s="2">
        <v>2.5680000000000001</v>
      </c>
      <c r="M10" s="2" t="s">
        <v>306</v>
      </c>
      <c r="N10" s="2">
        <v>612</v>
      </c>
      <c r="O10" s="2" t="s">
        <v>238</v>
      </c>
      <c r="Q10" s="2">
        <v>1.78</v>
      </c>
      <c r="R10" s="2" t="s">
        <v>324</v>
      </c>
      <c r="S10" s="2">
        <v>2693</v>
      </c>
      <c r="T10" s="2" t="s">
        <v>41</v>
      </c>
      <c r="V10" s="2">
        <v>1.4219999999999999</v>
      </c>
      <c r="W10" s="2" t="s">
        <v>324</v>
      </c>
      <c r="X10" s="2">
        <v>2693</v>
      </c>
      <c r="Y10" s="2" t="s">
        <v>41</v>
      </c>
      <c r="AA10" s="2">
        <v>1.0509999999999999</v>
      </c>
      <c r="AB10" s="2" t="s">
        <v>324</v>
      </c>
      <c r="AC10" s="2">
        <v>2659</v>
      </c>
      <c r="AD10" s="2" t="s">
        <v>41</v>
      </c>
      <c r="AF10" s="2">
        <v>8.9440000000000008</v>
      </c>
      <c r="AG10" s="2" t="s">
        <v>176</v>
      </c>
      <c r="AH10" s="2">
        <v>15</v>
      </c>
      <c r="AI10" s="2" t="s">
        <v>312</v>
      </c>
      <c r="AK10" s="2">
        <v>3.5470000000000002</v>
      </c>
      <c r="AL10" s="2" t="s">
        <v>362</v>
      </c>
      <c r="AM10" s="2">
        <v>21304</v>
      </c>
      <c r="AN10" s="2" t="s">
        <v>273</v>
      </c>
      <c r="AP10" s="2">
        <v>1.069</v>
      </c>
      <c r="AQ10" s="2" t="s">
        <v>324</v>
      </c>
      <c r="AR10" s="2">
        <v>2659</v>
      </c>
      <c r="AS10" s="2" t="s">
        <v>41</v>
      </c>
      <c r="AU10" s="2">
        <v>1.401</v>
      </c>
      <c r="AV10" s="2" t="s">
        <v>324</v>
      </c>
      <c r="AW10" s="2">
        <v>2659</v>
      </c>
      <c r="AX10" s="2" t="s">
        <v>41</v>
      </c>
      <c r="AZ10" s="2">
        <v>3.4870000000000001</v>
      </c>
      <c r="BA10" s="2" t="s">
        <v>66</v>
      </c>
      <c r="BB10" s="2">
        <v>28841</v>
      </c>
      <c r="BC10" s="2" t="s">
        <v>13</v>
      </c>
      <c r="BE10" s="2">
        <v>1.1539999999999999</v>
      </c>
      <c r="BF10" s="2" t="s">
        <v>324</v>
      </c>
      <c r="BG10" s="2">
        <v>2659</v>
      </c>
      <c r="BH10" s="2" t="s">
        <v>41</v>
      </c>
      <c r="BJ10" s="2">
        <v>1.127</v>
      </c>
      <c r="BK10" s="2" t="s">
        <v>324</v>
      </c>
      <c r="BL10" s="2">
        <v>2659</v>
      </c>
      <c r="BM10" s="2" t="s">
        <v>41</v>
      </c>
    </row>
    <row r="11" spans="2:65" x14ac:dyDescent="0.2">
      <c r="B11" s="2">
        <v>2.6640000000000001</v>
      </c>
      <c r="C11" s="2" t="s">
        <v>22</v>
      </c>
      <c r="D11" s="2">
        <v>43611</v>
      </c>
      <c r="E11" s="2" t="s">
        <v>15</v>
      </c>
      <c r="G11" s="2">
        <v>9.452</v>
      </c>
      <c r="H11" s="2" t="s">
        <v>270</v>
      </c>
      <c r="I11" s="2">
        <v>36932</v>
      </c>
      <c r="J11" s="2" t="s">
        <v>273</v>
      </c>
      <c r="L11" s="2">
        <v>1.714</v>
      </c>
      <c r="M11" s="2" t="s">
        <v>307</v>
      </c>
      <c r="N11" s="2">
        <v>5148</v>
      </c>
      <c r="O11" s="2" t="s">
        <v>273</v>
      </c>
      <c r="Q11" s="2">
        <v>1.1459999999999999</v>
      </c>
      <c r="R11" s="2" t="s">
        <v>325</v>
      </c>
      <c r="S11" s="2">
        <v>41</v>
      </c>
      <c r="T11" s="2" t="s">
        <v>310</v>
      </c>
      <c r="V11" s="2">
        <v>0.93799999999999994</v>
      </c>
      <c r="W11" s="2" t="s">
        <v>311</v>
      </c>
      <c r="X11" s="2">
        <v>2</v>
      </c>
      <c r="Y11" s="2" t="s">
        <v>250</v>
      </c>
      <c r="AA11" s="2">
        <v>0.55700000000000005</v>
      </c>
      <c r="AB11" s="2" t="s">
        <v>342</v>
      </c>
      <c r="AC11" s="2">
        <v>8967</v>
      </c>
      <c r="AD11" s="2" t="s">
        <v>15</v>
      </c>
      <c r="AF11" s="2">
        <v>7.46</v>
      </c>
      <c r="AG11" s="2" t="s">
        <v>353</v>
      </c>
      <c r="AH11" s="2">
        <v>41545</v>
      </c>
      <c r="AI11" s="2" t="s">
        <v>41</v>
      </c>
      <c r="AK11" s="2">
        <v>3.1989999999999998</v>
      </c>
      <c r="AL11" s="2" t="s">
        <v>40</v>
      </c>
      <c r="AM11" s="2">
        <v>17690</v>
      </c>
      <c r="AN11" s="2" t="s">
        <v>41</v>
      </c>
      <c r="AP11" s="2">
        <v>0.58699999999999997</v>
      </c>
      <c r="AQ11" s="2" t="s">
        <v>372</v>
      </c>
      <c r="AR11" s="2">
        <v>8967</v>
      </c>
      <c r="AS11" s="2" t="s">
        <v>15</v>
      </c>
      <c r="AU11" s="2">
        <v>0.61899999999999999</v>
      </c>
      <c r="AV11" s="2" t="s">
        <v>45</v>
      </c>
      <c r="AW11" s="2">
        <v>8967</v>
      </c>
      <c r="AX11" s="2" t="s">
        <v>15</v>
      </c>
      <c r="AZ11" s="2">
        <v>2.8319999999999999</v>
      </c>
      <c r="BA11" s="2" t="s">
        <v>40</v>
      </c>
      <c r="BB11" s="2">
        <v>24272</v>
      </c>
      <c r="BC11" s="2" t="s">
        <v>11</v>
      </c>
      <c r="BE11" s="2">
        <v>0.59299999999999997</v>
      </c>
      <c r="BF11" s="2" t="s">
        <v>175</v>
      </c>
      <c r="BG11" s="2">
        <v>3388</v>
      </c>
      <c r="BH11" s="2" t="s">
        <v>273</v>
      </c>
      <c r="BJ11" s="2">
        <v>0.59699999999999998</v>
      </c>
      <c r="BK11" s="2" t="s">
        <v>398</v>
      </c>
      <c r="BL11" s="2">
        <v>8967</v>
      </c>
      <c r="BM11" s="2" t="s">
        <v>15</v>
      </c>
    </row>
    <row r="12" spans="2:65" x14ac:dyDescent="0.2">
      <c r="B12" s="2">
        <v>2.4350000000000001</v>
      </c>
      <c r="C12" s="2" t="s">
        <v>270</v>
      </c>
      <c r="D12" s="2">
        <v>18466</v>
      </c>
      <c r="E12" s="2" t="s">
        <v>273</v>
      </c>
      <c r="G12" s="2">
        <v>8.8109999999999999</v>
      </c>
      <c r="H12" s="2" t="s">
        <v>251</v>
      </c>
      <c r="I12" s="2">
        <v>10620</v>
      </c>
      <c r="J12" s="2" t="s">
        <v>280</v>
      </c>
      <c r="L12" s="2">
        <v>1.655</v>
      </c>
      <c r="M12" s="2" t="s">
        <v>308</v>
      </c>
      <c r="N12" s="2">
        <v>4201</v>
      </c>
      <c r="O12" s="2" t="s">
        <v>41</v>
      </c>
      <c r="Q12" s="2">
        <v>0.85499999999999998</v>
      </c>
      <c r="R12" s="2" t="s">
        <v>179</v>
      </c>
      <c r="S12" s="2">
        <v>3429</v>
      </c>
      <c r="T12" s="2" t="s">
        <v>273</v>
      </c>
      <c r="V12" s="2">
        <v>0.61599999999999999</v>
      </c>
      <c r="W12" s="2" t="s">
        <v>327</v>
      </c>
      <c r="X12" s="2">
        <v>9273</v>
      </c>
      <c r="Y12" s="2" t="s">
        <v>15</v>
      </c>
      <c r="AA12" s="2">
        <v>0.52700000000000002</v>
      </c>
      <c r="AB12" s="2" t="s">
        <v>179</v>
      </c>
      <c r="AC12" s="2">
        <v>3388</v>
      </c>
      <c r="AD12" s="2" t="s">
        <v>273</v>
      </c>
      <c r="AF12" s="2">
        <v>7.1589999999999998</v>
      </c>
      <c r="AG12" s="2" t="s">
        <v>66</v>
      </c>
      <c r="AH12" s="2">
        <v>51818</v>
      </c>
      <c r="AI12" s="2" t="s">
        <v>13</v>
      </c>
      <c r="AK12" s="2">
        <v>2.7890000000000001</v>
      </c>
      <c r="AL12" s="2" t="s">
        <v>363</v>
      </c>
      <c r="AM12" s="2">
        <v>40459</v>
      </c>
      <c r="AN12" s="2" t="s">
        <v>15</v>
      </c>
      <c r="AP12" s="2">
        <v>0.50800000000000001</v>
      </c>
      <c r="AQ12" s="2" t="s">
        <v>179</v>
      </c>
      <c r="AR12" s="2">
        <v>3388</v>
      </c>
      <c r="AS12" s="2" t="s">
        <v>273</v>
      </c>
      <c r="AU12" s="2">
        <v>0.54600000000000004</v>
      </c>
      <c r="AV12" s="2" t="s">
        <v>179</v>
      </c>
      <c r="AW12" s="2">
        <v>3388</v>
      </c>
      <c r="AX12" s="2" t="s">
        <v>273</v>
      </c>
      <c r="AZ12" s="2">
        <v>2.6509999999999998</v>
      </c>
      <c r="BA12" s="2" t="s">
        <v>94</v>
      </c>
      <c r="BB12" s="2">
        <v>120</v>
      </c>
      <c r="BC12" s="2" t="s">
        <v>305</v>
      </c>
      <c r="BE12" s="2">
        <v>0.56899999999999995</v>
      </c>
      <c r="BF12" s="2" t="s">
        <v>342</v>
      </c>
      <c r="BG12" s="2">
        <v>8967</v>
      </c>
      <c r="BH12" s="2" t="s">
        <v>15</v>
      </c>
      <c r="BJ12" s="2">
        <v>0.51600000000000001</v>
      </c>
      <c r="BK12" s="2" t="s">
        <v>179</v>
      </c>
      <c r="BL12" s="2">
        <v>3388</v>
      </c>
      <c r="BM12" s="2" t="s">
        <v>273</v>
      </c>
    </row>
    <row r="13" spans="2:65" x14ac:dyDescent="0.2">
      <c r="B13" s="2">
        <v>2.387</v>
      </c>
      <c r="C13" s="2" t="s">
        <v>159</v>
      </c>
      <c r="D13" s="2">
        <v>12092</v>
      </c>
      <c r="E13" s="2" t="s">
        <v>21</v>
      </c>
      <c r="G13" s="2">
        <v>6.9729999999999999</v>
      </c>
      <c r="H13" s="2" t="s">
        <v>94</v>
      </c>
      <c r="I13" s="2">
        <v>87011</v>
      </c>
      <c r="J13" s="2" t="s">
        <v>15</v>
      </c>
      <c r="L13" s="2">
        <v>1.3149999999999999</v>
      </c>
      <c r="M13" s="2" t="s">
        <v>309</v>
      </c>
      <c r="N13" s="2">
        <v>56</v>
      </c>
      <c r="O13" s="2" t="s">
        <v>310</v>
      </c>
      <c r="Q13" s="2">
        <v>0.75800000000000001</v>
      </c>
      <c r="R13" s="2" t="s">
        <v>29</v>
      </c>
      <c r="S13" s="2">
        <v>15</v>
      </c>
      <c r="T13" s="2" t="s">
        <v>314</v>
      </c>
      <c r="V13" s="2">
        <v>0.505</v>
      </c>
      <c r="W13" s="2" t="s">
        <v>328</v>
      </c>
      <c r="X13" s="2">
        <v>2458</v>
      </c>
      <c r="Y13" s="2" t="s">
        <v>21</v>
      </c>
      <c r="AA13" s="2">
        <v>0.45900000000000002</v>
      </c>
      <c r="AB13" s="2" t="s">
        <v>343</v>
      </c>
      <c r="AC13" s="2">
        <v>2359</v>
      </c>
      <c r="AD13" s="2" t="s">
        <v>21</v>
      </c>
      <c r="AF13" s="2">
        <v>6.3010000000000002</v>
      </c>
      <c r="AG13" s="2" t="s">
        <v>161</v>
      </c>
      <c r="AH13" s="2">
        <v>50465</v>
      </c>
      <c r="AI13" s="2" t="s">
        <v>11</v>
      </c>
      <c r="AK13" s="2">
        <v>2.2410000000000001</v>
      </c>
      <c r="AL13" s="2" t="s">
        <v>161</v>
      </c>
      <c r="AM13" s="2">
        <v>10892</v>
      </c>
      <c r="AN13" s="2" t="s">
        <v>21</v>
      </c>
      <c r="AP13" s="2">
        <v>0.45700000000000002</v>
      </c>
      <c r="AQ13" s="2" t="s">
        <v>373</v>
      </c>
      <c r="AR13" s="2">
        <v>2359</v>
      </c>
      <c r="AS13" s="2" t="s">
        <v>21</v>
      </c>
      <c r="AU13" s="2">
        <v>0.48</v>
      </c>
      <c r="AV13" s="2" t="s">
        <v>373</v>
      </c>
      <c r="AW13" s="2">
        <v>2359</v>
      </c>
      <c r="AX13" s="2" t="s">
        <v>21</v>
      </c>
      <c r="AZ13" s="2">
        <v>1.147</v>
      </c>
      <c r="BA13" s="2" t="s">
        <v>372</v>
      </c>
      <c r="BB13" s="2">
        <v>14171</v>
      </c>
      <c r="BC13" s="2" t="s">
        <v>15</v>
      </c>
      <c r="BE13" s="2">
        <v>0.44800000000000001</v>
      </c>
      <c r="BF13" s="2" t="s">
        <v>328</v>
      </c>
      <c r="BG13" s="2">
        <v>2359</v>
      </c>
      <c r="BH13" s="2" t="s">
        <v>21</v>
      </c>
      <c r="BJ13" s="2">
        <v>0.46500000000000002</v>
      </c>
      <c r="BK13" s="2" t="s">
        <v>399</v>
      </c>
      <c r="BL13" s="2">
        <v>2359</v>
      </c>
      <c r="BM13" s="2" t="s">
        <v>21</v>
      </c>
    </row>
    <row r="14" spans="2:65" x14ac:dyDescent="0.2">
      <c r="B14" s="2">
        <v>1.4990000000000001</v>
      </c>
      <c r="C14" s="2" t="s">
        <v>94</v>
      </c>
      <c r="D14" s="2">
        <v>15017</v>
      </c>
      <c r="E14" s="2" t="s">
        <v>41</v>
      </c>
      <c r="G14" s="2">
        <v>6.2619999999999996</v>
      </c>
      <c r="H14" s="2" t="s">
        <v>159</v>
      </c>
      <c r="I14" s="2">
        <v>24135</v>
      </c>
      <c r="J14" s="2" t="s">
        <v>21</v>
      </c>
      <c r="L14" s="2">
        <v>1.1919999999999999</v>
      </c>
      <c r="M14" s="2" t="s">
        <v>311</v>
      </c>
      <c r="N14" s="2">
        <v>4</v>
      </c>
      <c r="O14" s="2" t="s">
        <v>250</v>
      </c>
      <c r="Q14" s="2">
        <v>0.66500000000000004</v>
      </c>
      <c r="R14" s="2" t="s">
        <v>326</v>
      </c>
      <c r="S14" s="2">
        <v>15</v>
      </c>
      <c r="T14" s="2" t="s">
        <v>312</v>
      </c>
      <c r="V14" s="2">
        <v>0.504</v>
      </c>
      <c r="W14" s="2" t="s">
        <v>179</v>
      </c>
      <c r="X14" s="2">
        <v>3429</v>
      </c>
      <c r="Y14" s="2" t="s">
        <v>273</v>
      </c>
      <c r="AA14" s="2">
        <v>0.26700000000000002</v>
      </c>
      <c r="AB14" s="2" t="s">
        <v>316</v>
      </c>
      <c r="AC14" s="2">
        <v>2798</v>
      </c>
      <c r="AD14" s="2" t="s">
        <v>26</v>
      </c>
      <c r="AF14" s="2">
        <v>2.7170000000000001</v>
      </c>
      <c r="AG14" s="2" t="s">
        <v>170</v>
      </c>
      <c r="AH14" s="2">
        <v>3648</v>
      </c>
      <c r="AI14" s="2" t="s">
        <v>280</v>
      </c>
      <c r="AK14" s="2">
        <v>1.401</v>
      </c>
      <c r="AL14" s="2">
        <v>336</v>
      </c>
      <c r="AM14" s="2">
        <v>16848</v>
      </c>
      <c r="AN14" s="2" t="s">
        <v>277</v>
      </c>
      <c r="AP14" s="2">
        <v>0.28000000000000003</v>
      </c>
      <c r="AQ14" s="2">
        <v>288</v>
      </c>
      <c r="AR14" s="2">
        <v>3456</v>
      </c>
      <c r="AS14" s="2" t="s">
        <v>277</v>
      </c>
      <c r="AU14" s="2">
        <v>0.28899999999999998</v>
      </c>
      <c r="AV14" s="2" t="s">
        <v>329</v>
      </c>
      <c r="AW14" s="2">
        <v>2798</v>
      </c>
      <c r="AX14" s="2" t="s">
        <v>26</v>
      </c>
      <c r="AZ14" s="2">
        <v>0.96499999999999997</v>
      </c>
      <c r="BA14" s="2" t="s">
        <v>311</v>
      </c>
      <c r="BB14" s="2">
        <v>27744</v>
      </c>
      <c r="BC14" s="2" t="s">
        <v>48</v>
      </c>
      <c r="BE14" s="2">
        <v>0.27700000000000002</v>
      </c>
      <c r="BF14" s="2">
        <v>296</v>
      </c>
      <c r="BG14" s="2">
        <v>3456</v>
      </c>
      <c r="BH14" s="2" t="s">
        <v>277</v>
      </c>
      <c r="BJ14" s="2">
        <v>0.28799999999999998</v>
      </c>
      <c r="BK14" s="2">
        <v>296</v>
      </c>
      <c r="BL14" s="2">
        <v>3456</v>
      </c>
      <c r="BM14" s="2" t="s">
        <v>277</v>
      </c>
    </row>
    <row r="15" spans="2:65" x14ac:dyDescent="0.2">
      <c r="B15" s="2">
        <v>1.3</v>
      </c>
      <c r="C15" s="2" t="s">
        <v>274</v>
      </c>
      <c r="D15" s="2">
        <v>13564</v>
      </c>
      <c r="E15" s="2" t="s">
        <v>26</v>
      </c>
      <c r="G15" s="2">
        <v>5.8570000000000002</v>
      </c>
      <c r="H15" s="2" t="s">
        <v>293</v>
      </c>
      <c r="I15" s="2">
        <v>14216</v>
      </c>
      <c r="J15" s="2" t="s">
        <v>276</v>
      </c>
      <c r="L15" s="2">
        <v>1.175</v>
      </c>
      <c r="M15" s="2" t="s">
        <v>218</v>
      </c>
      <c r="N15" s="2">
        <v>24</v>
      </c>
      <c r="O15" s="2" t="s">
        <v>312</v>
      </c>
      <c r="Q15" s="2">
        <v>0.64300000000000002</v>
      </c>
      <c r="R15" s="2" t="s">
        <v>327</v>
      </c>
      <c r="S15" s="2">
        <v>9273</v>
      </c>
      <c r="T15" s="2" t="s">
        <v>15</v>
      </c>
      <c r="V15" s="2">
        <v>0.308</v>
      </c>
      <c r="W15" s="2" t="s">
        <v>329</v>
      </c>
      <c r="X15" s="2">
        <v>2996</v>
      </c>
      <c r="Y15" s="2" t="s">
        <v>26</v>
      </c>
      <c r="AA15" s="2">
        <v>0.26300000000000001</v>
      </c>
      <c r="AB15" s="2" t="s">
        <v>201</v>
      </c>
      <c r="AC15" s="2">
        <v>2798</v>
      </c>
      <c r="AD15" s="2" t="s">
        <v>32</v>
      </c>
      <c r="AF15" s="2">
        <v>2.0539999999999998</v>
      </c>
      <c r="AG15" s="2" t="s">
        <v>342</v>
      </c>
      <c r="AH15" s="2">
        <v>29359</v>
      </c>
      <c r="AI15" s="2" t="s">
        <v>15</v>
      </c>
      <c r="AK15" s="2">
        <v>1.288</v>
      </c>
      <c r="AL15" s="2" t="s">
        <v>364</v>
      </c>
      <c r="AM15" s="2">
        <v>12424</v>
      </c>
      <c r="AN15" s="2" t="s">
        <v>26</v>
      </c>
      <c r="AP15" s="2">
        <v>0.27100000000000002</v>
      </c>
      <c r="AQ15" s="2" t="s">
        <v>329</v>
      </c>
      <c r="AR15" s="2">
        <v>2798</v>
      </c>
      <c r="AS15" s="2" t="s">
        <v>26</v>
      </c>
      <c r="AU15" s="2">
        <v>0.28699999999999998</v>
      </c>
      <c r="AV15" s="2" t="s">
        <v>244</v>
      </c>
      <c r="AW15" s="2">
        <v>2798</v>
      </c>
      <c r="AX15" s="2" t="s">
        <v>32</v>
      </c>
      <c r="AZ15" s="2">
        <v>0.95699999999999996</v>
      </c>
      <c r="BA15" s="2" t="s">
        <v>386</v>
      </c>
      <c r="BB15" s="2">
        <v>144</v>
      </c>
      <c r="BC15" s="2" t="s">
        <v>387</v>
      </c>
      <c r="BE15" s="2">
        <v>0.26300000000000001</v>
      </c>
      <c r="BF15" s="2" t="s">
        <v>316</v>
      </c>
      <c r="BG15" s="2">
        <v>2798</v>
      </c>
      <c r="BH15" s="2" t="s">
        <v>26</v>
      </c>
      <c r="BJ15" s="2">
        <v>0.27600000000000002</v>
      </c>
      <c r="BK15" s="2" t="s">
        <v>329</v>
      </c>
      <c r="BL15" s="2">
        <v>2798</v>
      </c>
      <c r="BM15" s="2" t="s">
        <v>26</v>
      </c>
    </row>
    <row r="16" spans="2:65" x14ac:dyDescent="0.2">
      <c r="B16" s="2">
        <v>1.1499999999999999</v>
      </c>
      <c r="C16" s="2" t="s">
        <v>275</v>
      </c>
      <c r="D16" s="2">
        <v>7108</v>
      </c>
      <c r="E16" s="2" t="s">
        <v>276</v>
      </c>
      <c r="G16" s="2">
        <v>4.3070000000000004</v>
      </c>
      <c r="H16" s="2" t="s">
        <v>16</v>
      </c>
      <c r="I16" s="2">
        <v>30015</v>
      </c>
      <c r="J16" s="2" t="s">
        <v>41</v>
      </c>
      <c r="L16" s="2">
        <v>1.071</v>
      </c>
      <c r="M16" s="2" t="s">
        <v>80</v>
      </c>
      <c r="N16" s="2">
        <v>13613</v>
      </c>
      <c r="O16" s="2" t="s">
        <v>15</v>
      </c>
      <c r="Q16" s="2">
        <v>0.61</v>
      </c>
      <c r="R16" s="2" t="s">
        <v>311</v>
      </c>
      <c r="S16" s="2">
        <v>2</v>
      </c>
      <c r="T16" s="2" t="s">
        <v>250</v>
      </c>
      <c r="V16" s="2">
        <v>0.30199999999999999</v>
      </c>
      <c r="W16" s="2" t="s">
        <v>336</v>
      </c>
      <c r="X16" s="2">
        <v>2996</v>
      </c>
      <c r="Y16" s="2" t="s">
        <v>30</v>
      </c>
      <c r="AA16" s="2">
        <v>0.25800000000000001</v>
      </c>
      <c r="AB16" s="2" t="s">
        <v>330</v>
      </c>
      <c r="AC16" s="2">
        <v>2798</v>
      </c>
      <c r="AD16" s="2" t="s">
        <v>30</v>
      </c>
      <c r="AF16" s="2">
        <v>1.7070000000000001</v>
      </c>
      <c r="AG16" s="2" t="s">
        <v>343</v>
      </c>
      <c r="AH16" s="2">
        <v>8030</v>
      </c>
      <c r="AI16" s="2" t="s">
        <v>21</v>
      </c>
      <c r="AK16" s="2">
        <v>1.282</v>
      </c>
      <c r="AL16" s="2" t="s">
        <v>365</v>
      </c>
      <c r="AM16" s="2">
        <v>12424</v>
      </c>
      <c r="AN16" s="2" t="s">
        <v>32</v>
      </c>
      <c r="AP16" s="2">
        <v>0.26100000000000001</v>
      </c>
      <c r="AQ16" s="2" t="s">
        <v>336</v>
      </c>
      <c r="AR16" s="2">
        <v>2798</v>
      </c>
      <c r="AS16" s="2" t="s">
        <v>30</v>
      </c>
      <c r="AU16" s="2">
        <v>0.28299999999999997</v>
      </c>
      <c r="AV16" s="2">
        <v>296</v>
      </c>
      <c r="AW16" s="2">
        <v>3456</v>
      </c>
      <c r="AX16" s="2" t="s">
        <v>277</v>
      </c>
      <c r="AZ16" s="2">
        <v>0.93899999999999995</v>
      </c>
      <c r="BA16" s="2">
        <v>920</v>
      </c>
      <c r="BB16" s="2">
        <v>13872</v>
      </c>
      <c r="BC16" s="2" t="s">
        <v>277</v>
      </c>
      <c r="BE16" s="2">
        <v>0.25700000000000001</v>
      </c>
      <c r="BF16" s="2" t="s">
        <v>374</v>
      </c>
      <c r="BG16" s="2">
        <v>2798</v>
      </c>
      <c r="BH16" s="2" t="s">
        <v>32</v>
      </c>
      <c r="BJ16" s="2">
        <v>0.26800000000000002</v>
      </c>
      <c r="BK16" s="2" t="s">
        <v>258</v>
      </c>
      <c r="BL16" s="2">
        <v>2798</v>
      </c>
      <c r="BM16" s="2" t="s">
        <v>32</v>
      </c>
    </row>
    <row r="17" spans="2:65" x14ac:dyDescent="0.2">
      <c r="B17" s="2">
        <v>1.0660000000000001</v>
      </c>
      <c r="C17" s="2" t="s">
        <v>220</v>
      </c>
      <c r="D17" s="2">
        <v>7143</v>
      </c>
      <c r="E17" s="2" t="s">
        <v>19</v>
      </c>
      <c r="G17" s="2">
        <v>3.3130000000000002</v>
      </c>
      <c r="H17" s="2" t="s">
        <v>294</v>
      </c>
      <c r="I17" s="2">
        <v>27030</v>
      </c>
      <c r="J17" s="2" t="s">
        <v>26</v>
      </c>
      <c r="L17" s="2">
        <v>0.96</v>
      </c>
      <c r="M17" s="2" t="s">
        <v>313</v>
      </c>
      <c r="N17" s="2">
        <v>24</v>
      </c>
      <c r="O17" s="2" t="s">
        <v>314</v>
      </c>
      <c r="Q17" s="2">
        <v>0.52700000000000002</v>
      </c>
      <c r="R17" s="2" t="s">
        <v>328</v>
      </c>
      <c r="S17" s="2">
        <v>2458</v>
      </c>
      <c r="T17" s="2" t="s">
        <v>21</v>
      </c>
      <c r="V17" s="2">
        <v>0.29799999999999999</v>
      </c>
      <c r="W17" s="2" t="s">
        <v>244</v>
      </c>
      <c r="X17" s="2">
        <v>2996</v>
      </c>
      <c r="Y17" s="2" t="s">
        <v>32</v>
      </c>
      <c r="AA17" s="2">
        <v>0.246</v>
      </c>
      <c r="AB17" s="2">
        <v>336</v>
      </c>
      <c r="AC17" s="2">
        <v>3456</v>
      </c>
      <c r="AD17" s="2" t="s">
        <v>277</v>
      </c>
      <c r="AF17" s="2">
        <v>1.169</v>
      </c>
      <c r="AG17" s="2">
        <v>336</v>
      </c>
      <c r="AH17" s="2">
        <v>14402</v>
      </c>
      <c r="AI17" s="2" t="s">
        <v>277</v>
      </c>
      <c r="AK17" s="2">
        <v>1.2589999999999999</v>
      </c>
      <c r="AL17" s="2" t="s">
        <v>366</v>
      </c>
      <c r="AM17" s="2">
        <v>12424</v>
      </c>
      <c r="AN17" s="2" t="s">
        <v>30</v>
      </c>
      <c r="AP17" s="2">
        <v>0.26</v>
      </c>
      <c r="AQ17" s="2" t="s">
        <v>275</v>
      </c>
      <c r="AR17" s="2">
        <v>1304</v>
      </c>
      <c r="AS17" s="2" t="s">
        <v>276</v>
      </c>
      <c r="AU17" s="2">
        <v>0.28000000000000003</v>
      </c>
      <c r="AV17" s="2" t="s">
        <v>336</v>
      </c>
      <c r="AW17" s="2">
        <v>2798</v>
      </c>
      <c r="AX17" s="2" t="s">
        <v>30</v>
      </c>
      <c r="AZ17" s="2">
        <v>0.90700000000000003</v>
      </c>
      <c r="BA17" s="2" t="s">
        <v>388</v>
      </c>
      <c r="BB17" s="2">
        <v>192</v>
      </c>
      <c r="BC17" s="2" t="s">
        <v>389</v>
      </c>
      <c r="BE17" s="2">
        <v>0.25</v>
      </c>
      <c r="BF17" s="2" t="s">
        <v>330</v>
      </c>
      <c r="BG17" s="2">
        <v>2798</v>
      </c>
      <c r="BH17" s="2" t="s">
        <v>30</v>
      </c>
      <c r="BJ17" s="2">
        <v>0.25800000000000001</v>
      </c>
      <c r="BK17" s="2" t="s">
        <v>400</v>
      </c>
      <c r="BL17" s="2">
        <v>2798</v>
      </c>
      <c r="BM17" s="2" t="s">
        <v>30</v>
      </c>
    </row>
    <row r="18" spans="2:65" x14ac:dyDescent="0.2">
      <c r="B18" s="2">
        <v>0.92700000000000005</v>
      </c>
      <c r="C18" s="2">
        <v>336</v>
      </c>
      <c r="D18" s="2">
        <v>12744</v>
      </c>
      <c r="E18" s="2" t="s">
        <v>277</v>
      </c>
      <c r="G18" s="2">
        <v>2.7</v>
      </c>
      <c r="H18" s="2" t="s">
        <v>220</v>
      </c>
      <c r="I18" s="2">
        <v>14240</v>
      </c>
      <c r="J18" s="2" t="s">
        <v>19</v>
      </c>
      <c r="L18" s="2">
        <v>0.92</v>
      </c>
      <c r="M18" s="2" t="s">
        <v>315</v>
      </c>
      <c r="N18" s="2">
        <v>3615</v>
      </c>
      <c r="O18" s="2" t="s">
        <v>21</v>
      </c>
      <c r="Q18" s="2">
        <v>0.47199999999999998</v>
      </c>
      <c r="R18" s="2" t="s">
        <v>111</v>
      </c>
      <c r="S18" s="2">
        <v>1316</v>
      </c>
      <c r="T18" s="2" t="s">
        <v>276</v>
      </c>
      <c r="V18" s="2">
        <v>0.28999999999999998</v>
      </c>
      <c r="W18" s="2">
        <v>336</v>
      </c>
      <c r="X18" s="2">
        <v>3566</v>
      </c>
      <c r="Y18" s="2" t="s">
        <v>277</v>
      </c>
      <c r="AA18" s="2">
        <v>0.24099999999999999</v>
      </c>
      <c r="AB18" s="2" t="s">
        <v>94</v>
      </c>
      <c r="AC18" s="2">
        <v>1608</v>
      </c>
      <c r="AD18" s="2" t="s">
        <v>19</v>
      </c>
      <c r="AF18" s="2">
        <v>1.093</v>
      </c>
      <c r="AG18" s="2" t="s">
        <v>354</v>
      </c>
      <c r="AH18" s="2">
        <v>53</v>
      </c>
      <c r="AI18" s="2" t="s">
        <v>310</v>
      </c>
      <c r="AK18" s="2">
        <v>1.1359999999999999</v>
      </c>
      <c r="AL18" s="2" t="s">
        <v>275</v>
      </c>
      <c r="AM18" s="2">
        <v>6280</v>
      </c>
      <c r="AN18" s="2" t="s">
        <v>276</v>
      </c>
      <c r="AP18" s="2">
        <v>0.25700000000000001</v>
      </c>
      <c r="AQ18" s="2" t="s">
        <v>374</v>
      </c>
      <c r="AR18" s="2">
        <v>2798</v>
      </c>
      <c r="AS18" s="2" t="s">
        <v>32</v>
      </c>
      <c r="AU18" s="2">
        <v>0.26700000000000002</v>
      </c>
      <c r="AV18" s="2" t="s">
        <v>94</v>
      </c>
      <c r="AW18" s="2">
        <v>1608</v>
      </c>
      <c r="AX18" s="2" t="s">
        <v>19</v>
      </c>
      <c r="AZ18" s="2">
        <v>0.84499999999999997</v>
      </c>
      <c r="BA18" s="2" t="s">
        <v>94</v>
      </c>
      <c r="BB18" s="2">
        <v>5348</v>
      </c>
      <c r="BC18" s="2" t="s">
        <v>19</v>
      </c>
      <c r="BE18" s="2">
        <v>0.23400000000000001</v>
      </c>
      <c r="BF18" s="2" t="s">
        <v>94</v>
      </c>
      <c r="BG18" s="2">
        <v>1608</v>
      </c>
      <c r="BH18" s="2" t="s">
        <v>19</v>
      </c>
      <c r="BJ18" s="2">
        <v>0.24199999999999999</v>
      </c>
      <c r="BK18" s="2" t="s">
        <v>401</v>
      </c>
      <c r="BL18" s="2">
        <v>1399</v>
      </c>
      <c r="BM18" s="2" t="s">
        <v>28</v>
      </c>
    </row>
    <row r="19" spans="2:65" x14ac:dyDescent="0.2">
      <c r="B19" s="2">
        <v>0.82099999999999995</v>
      </c>
      <c r="C19" s="2" t="s">
        <v>216</v>
      </c>
      <c r="D19" s="2">
        <v>6782</v>
      </c>
      <c r="E19" s="2" t="s">
        <v>237</v>
      </c>
      <c r="G19" s="2">
        <v>2.3769999999999998</v>
      </c>
      <c r="H19" s="2">
        <v>336</v>
      </c>
      <c r="I19" s="2">
        <v>25488</v>
      </c>
      <c r="J19" s="2" t="s">
        <v>277</v>
      </c>
      <c r="L19" s="2">
        <v>0.71</v>
      </c>
      <c r="M19" s="2" t="s">
        <v>230</v>
      </c>
      <c r="N19" s="2">
        <v>1976</v>
      </c>
      <c r="O19" s="2" t="s">
        <v>276</v>
      </c>
      <c r="Q19" s="2">
        <v>0.33500000000000002</v>
      </c>
      <c r="R19" s="2" t="s">
        <v>329</v>
      </c>
      <c r="S19" s="2">
        <v>2996</v>
      </c>
      <c r="T19" s="2" t="s">
        <v>26</v>
      </c>
      <c r="V19" s="2">
        <v>0.26600000000000001</v>
      </c>
      <c r="W19" s="2" t="s">
        <v>337</v>
      </c>
      <c r="X19" s="2">
        <v>1498</v>
      </c>
      <c r="Y19" s="2" t="s">
        <v>28</v>
      </c>
      <c r="AA19" s="2">
        <v>0.24</v>
      </c>
      <c r="AB19" s="2" t="s">
        <v>331</v>
      </c>
      <c r="AC19" s="2">
        <v>1399</v>
      </c>
      <c r="AD19" s="2" t="s">
        <v>28</v>
      </c>
      <c r="AF19" s="2">
        <v>1.042</v>
      </c>
      <c r="AG19" s="2" t="s">
        <v>275</v>
      </c>
      <c r="AH19" s="2">
        <v>4916</v>
      </c>
      <c r="AI19" s="2" t="s">
        <v>276</v>
      </c>
      <c r="AK19" s="2">
        <v>1.101</v>
      </c>
      <c r="AL19" s="2" t="s">
        <v>84</v>
      </c>
      <c r="AM19" s="2">
        <v>6212</v>
      </c>
      <c r="AN19" s="2" t="s">
        <v>28</v>
      </c>
      <c r="AP19" s="2">
        <v>0.245</v>
      </c>
      <c r="AQ19" s="2" t="s">
        <v>94</v>
      </c>
      <c r="AR19" s="2">
        <v>1608</v>
      </c>
      <c r="AS19" s="2" t="s">
        <v>19</v>
      </c>
      <c r="AU19" s="2">
        <v>0.25600000000000001</v>
      </c>
      <c r="AV19" s="2" t="s">
        <v>337</v>
      </c>
      <c r="AW19" s="2">
        <v>1399</v>
      </c>
      <c r="AX19" s="2" t="s">
        <v>28</v>
      </c>
      <c r="AZ19" s="2">
        <v>0.68500000000000005</v>
      </c>
      <c r="BA19" s="2" t="s">
        <v>390</v>
      </c>
      <c r="BB19" s="2">
        <v>24</v>
      </c>
      <c r="BC19" s="2" t="s">
        <v>17</v>
      </c>
      <c r="BE19" s="2">
        <v>0.22600000000000001</v>
      </c>
      <c r="BF19" s="2" t="s">
        <v>331</v>
      </c>
      <c r="BG19" s="2">
        <v>1399</v>
      </c>
      <c r="BH19" s="2" t="s">
        <v>28</v>
      </c>
      <c r="BJ19" s="2">
        <v>0.24099999999999999</v>
      </c>
      <c r="BK19" s="2" t="s">
        <v>94</v>
      </c>
      <c r="BL19" s="2">
        <v>1608</v>
      </c>
      <c r="BM19" s="2" t="s">
        <v>19</v>
      </c>
    </row>
    <row r="20" spans="2:65" x14ac:dyDescent="0.2">
      <c r="B20" s="2">
        <v>0.78900000000000003</v>
      </c>
      <c r="C20" s="2" t="s">
        <v>278</v>
      </c>
      <c r="D20" s="2">
        <v>6782</v>
      </c>
      <c r="E20" s="2" t="s">
        <v>37</v>
      </c>
      <c r="G20" s="2">
        <v>2.266</v>
      </c>
      <c r="H20" s="2" t="s">
        <v>295</v>
      </c>
      <c r="I20" s="2">
        <v>13515</v>
      </c>
      <c r="J20" s="2" t="s">
        <v>237</v>
      </c>
      <c r="L20" s="2">
        <v>0.59299999999999997</v>
      </c>
      <c r="M20" s="2" t="s">
        <v>22</v>
      </c>
      <c r="N20" s="2">
        <v>1440</v>
      </c>
      <c r="O20" s="2" t="s">
        <v>280</v>
      </c>
      <c r="Q20" s="2">
        <v>0.33100000000000002</v>
      </c>
      <c r="R20" s="2">
        <v>296</v>
      </c>
      <c r="S20" s="2">
        <v>3566</v>
      </c>
      <c r="T20" s="2" t="s">
        <v>277</v>
      </c>
      <c r="V20" s="2">
        <v>0.254</v>
      </c>
      <c r="W20" s="2" t="s">
        <v>338</v>
      </c>
      <c r="X20" s="2">
        <v>1578</v>
      </c>
      <c r="Y20" s="2" t="s">
        <v>19</v>
      </c>
      <c r="AA20" s="2">
        <v>0.20599999999999999</v>
      </c>
      <c r="AB20" s="2" t="s">
        <v>275</v>
      </c>
      <c r="AC20" s="2">
        <v>1304</v>
      </c>
      <c r="AD20" s="2" t="s">
        <v>276</v>
      </c>
      <c r="AF20" s="2">
        <v>0.96199999999999997</v>
      </c>
      <c r="AG20" s="2" t="s">
        <v>329</v>
      </c>
      <c r="AH20" s="2">
        <v>8764</v>
      </c>
      <c r="AI20" s="2" t="s">
        <v>26</v>
      </c>
      <c r="AK20" s="2">
        <v>1.0760000000000001</v>
      </c>
      <c r="AL20" s="2" t="s">
        <v>225</v>
      </c>
      <c r="AM20" s="2">
        <v>6697</v>
      </c>
      <c r="AN20" s="2" t="s">
        <v>19</v>
      </c>
      <c r="AP20" s="2">
        <v>0.23100000000000001</v>
      </c>
      <c r="AQ20" s="2" t="s">
        <v>337</v>
      </c>
      <c r="AR20" s="2">
        <v>1399</v>
      </c>
      <c r="AS20" s="2" t="s">
        <v>28</v>
      </c>
      <c r="AU20" s="2">
        <v>0.19800000000000001</v>
      </c>
      <c r="AV20" s="2" t="s">
        <v>275</v>
      </c>
      <c r="AW20" s="2">
        <v>1304</v>
      </c>
      <c r="AX20" s="2" t="s">
        <v>276</v>
      </c>
      <c r="AZ20" s="2">
        <v>0.64900000000000002</v>
      </c>
      <c r="BA20" s="2" t="s">
        <v>391</v>
      </c>
      <c r="BB20" s="2">
        <v>558</v>
      </c>
      <c r="BC20" s="2" t="s">
        <v>273</v>
      </c>
      <c r="BE20" s="2">
        <v>0.19900000000000001</v>
      </c>
      <c r="BF20" s="2" t="s">
        <v>395</v>
      </c>
      <c r="BG20" s="2">
        <v>1304</v>
      </c>
      <c r="BH20" s="2" t="s">
        <v>276</v>
      </c>
      <c r="BJ20" s="2">
        <v>0.19400000000000001</v>
      </c>
      <c r="BK20" s="2" t="s">
        <v>275</v>
      </c>
      <c r="BL20" s="2">
        <v>1304</v>
      </c>
      <c r="BM20" s="2" t="s">
        <v>276</v>
      </c>
    </row>
    <row r="21" spans="2:65" x14ac:dyDescent="0.2">
      <c r="B21" s="2">
        <v>0.60099999999999998</v>
      </c>
      <c r="C21" s="2" t="s">
        <v>279</v>
      </c>
      <c r="D21" s="2">
        <v>5310</v>
      </c>
      <c r="E21" s="2" t="s">
        <v>280</v>
      </c>
      <c r="G21" s="2">
        <v>2.0249999999999999</v>
      </c>
      <c r="H21" s="2" t="s">
        <v>296</v>
      </c>
      <c r="I21" s="2">
        <v>13515</v>
      </c>
      <c r="J21" s="2" t="s">
        <v>37</v>
      </c>
      <c r="L21" s="2">
        <v>0.55400000000000005</v>
      </c>
      <c r="M21" s="2" t="s">
        <v>316</v>
      </c>
      <c r="N21" s="2">
        <v>4350</v>
      </c>
      <c r="O21" s="2" t="s">
        <v>26</v>
      </c>
      <c r="Q21" s="2">
        <v>0.318</v>
      </c>
      <c r="R21" s="2" t="s">
        <v>330</v>
      </c>
      <c r="S21" s="2">
        <v>2996</v>
      </c>
      <c r="T21" s="2" t="s">
        <v>30</v>
      </c>
      <c r="V21" s="2">
        <v>0.24199999999999999</v>
      </c>
      <c r="W21" s="2" t="s">
        <v>275</v>
      </c>
      <c r="X21" s="2">
        <v>1316</v>
      </c>
      <c r="Y21" s="2" t="s">
        <v>276</v>
      </c>
      <c r="AA21" s="2">
        <v>0.16800000000000001</v>
      </c>
      <c r="AB21" s="2" t="s">
        <v>320</v>
      </c>
      <c r="AC21" s="2">
        <v>1399</v>
      </c>
      <c r="AD21" s="2" t="s">
        <v>237</v>
      </c>
      <c r="AF21" s="2">
        <v>0.96</v>
      </c>
      <c r="AG21" s="2" t="s">
        <v>201</v>
      </c>
      <c r="AH21" s="2">
        <v>8764</v>
      </c>
      <c r="AI21" s="2" t="s">
        <v>32</v>
      </c>
      <c r="AK21" s="2">
        <v>0.86299999999999999</v>
      </c>
      <c r="AL21" s="2" t="s">
        <v>274</v>
      </c>
      <c r="AM21" s="2">
        <v>6212</v>
      </c>
      <c r="AN21" s="2" t="s">
        <v>237</v>
      </c>
      <c r="AP21" s="2">
        <v>0.182</v>
      </c>
      <c r="AQ21" s="2" t="s">
        <v>375</v>
      </c>
      <c r="AR21" s="2">
        <v>1399</v>
      </c>
      <c r="AS21" s="2" t="s">
        <v>237</v>
      </c>
      <c r="AU21" s="2">
        <v>0.189</v>
      </c>
      <c r="AV21" s="2" t="s">
        <v>298</v>
      </c>
      <c r="AW21" s="2">
        <v>1405</v>
      </c>
      <c r="AX21" s="2" t="s">
        <v>237</v>
      </c>
      <c r="AZ21" s="2">
        <v>0.55300000000000005</v>
      </c>
      <c r="BA21" s="2" t="s">
        <v>373</v>
      </c>
      <c r="BB21" s="2">
        <v>2619</v>
      </c>
      <c r="BC21" s="2" t="s">
        <v>21</v>
      </c>
      <c r="BE21" s="2">
        <v>0.17499999999999999</v>
      </c>
      <c r="BF21" s="2" t="s">
        <v>332</v>
      </c>
      <c r="BG21" s="2">
        <v>1399</v>
      </c>
      <c r="BH21" s="2" t="s">
        <v>237</v>
      </c>
      <c r="BJ21" s="2">
        <v>0.184</v>
      </c>
      <c r="BK21" s="2" t="s">
        <v>332</v>
      </c>
      <c r="BL21" s="2">
        <v>1399</v>
      </c>
      <c r="BM21" s="2" t="s">
        <v>237</v>
      </c>
    </row>
    <row r="22" spans="2:65" x14ac:dyDescent="0.2">
      <c r="B22" s="2">
        <v>0.59399999999999997</v>
      </c>
      <c r="C22" s="2" t="s">
        <v>67</v>
      </c>
      <c r="D22" s="2">
        <v>3818</v>
      </c>
      <c r="E22" s="2" t="s">
        <v>28</v>
      </c>
      <c r="G22" s="2">
        <v>1.5069999999999999</v>
      </c>
      <c r="H22" s="2" t="s">
        <v>67</v>
      </c>
      <c r="I22" s="2">
        <v>7587</v>
      </c>
      <c r="J22" s="2" t="s">
        <v>28</v>
      </c>
      <c r="L22" s="2">
        <v>0.52400000000000002</v>
      </c>
      <c r="M22" s="2" t="s">
        <v>244</v>
      </c>
      <c r="N22" s="2">
        <v>4350</v>
      </c>
      <c r="O22" s="2" t="s">
        <v>32</v>
      </c>
      <c r="Q22" s="2">
        <v>0.318</v>
      </c>
      <c r="R22" s="2" t="s">
        <v>244</v>
      </c>
      <c r="S22" s="2">
        <v>2996</v>
      </c>
      <c r="T22" s="2" t="s">
        <v>32</v>
      </c>
      <c r="V22" s="2">
        <v>0.19700000000000001</v>
      </c>
      <c r="W22" s="2" t="s">
        <v>332</v>
      </c>
      <c r="X22" s="2">
        <v>1498</v>
      </c>
      <c r="Y22" s="2" t="s">
        <v>237</v>
      </c>
      <c r="AA22" s="2">
        <v>0.16600000000000001</v>
      </c>
      <c r="AB22" s="2" t="s">
        <v>333</v>
      </c>
      <c r="AC22" s="2">
        <v>1399</v>
      </c>
      <c r="AD22" s="2" t="s">
        <v>37</v>
      </c>
      <c r="AF22" s="2">
        <v>0.95299999999999996</v>
      </c>
      <c r="AG22" s="2" t="s">
        <v>330</v>
      </c>
      <c r="AH22" s="2">
        <v>8764</v>
      </c>
      <c r="AI22" s="2" t="s">
        <v>30</v>
      </c>
      <c r="AK22" s="2">
        <v>0.80200000000000005</v>
      </c>
      <c r="AL22" s="2" t="s">
        <v>177</v>
      </c>
      <c r="AM22" s="2">
        <v>6212</v>
      </c>
      <c r="AN22" s="2" t="s">
        <v>37</v>
      </c>
      <c r="AP22" s="2">
        <v>0.16700000000000001</v>
      </c>
      <c r="AQ22" s="2" t="s">
        <v>339</v>
      </c>
      <c r="AR22" s="2">
        <v>1399</v>
      </c>
      <c r="AS22" s="2" t="s">
        <v>37</v>
      </c>
      <c r="AU22" s="2">
        <v>0.17599999999999999</v>
      </c>
      <c r="AV22" s="2" t="s">
        <v>339</v>
      </c>
      <c r="AW22" s="2">
        <v>1399</v>
      </c>
      <c r="AX22" s="2" t="s">
        <v>37</v>
      </c>
      <c r="AZ22" s="2">
        <v>0.51600000000000001</v>
      </c>
      <c r="BA22" s="2" t="s">
        <v>392</v>
      </c>
      <c r="BB22" s="2">
        <v>2619</v>
      </c>
      <c r="BC22" s="2" t="s">
        <v>28</v>
      </c>
      <c r="BE22" s="2">
        <v>0.16400000000000001</v>
      </c>
      <c r="BF22" s="2" t="s">
        <v>333</v>
      </c>
      <c r="BG22" s="2">
        <v>1399</v>
      </c>
      <c r="BH22" s="2" t="s">
        <v>37</v>
      </c>
      <c r="BJ22" s="2">
        <v>0.17199999999999999</v>
      </c>
      <c r="BK22" s="2" t="s">
        <v>339</v>
      </c>
      <c r="BL22" s="2">
        <v>1399</v>
      </c>
      <c r="BM22" s="2" t="s">
        <v>37</v>
      </c>
    </row>
    <row r="23" spans="2:65" x14ac:dyDescent="0.2">
      <c r="B23" s="2">
        <v>0.39300000000000002</v>
      </c>
      <c r="C23" s="2" t="s">
        <v>281</v>
      </c>
      <c r="D23" s="2">
        <v>4216</v>
      </c>
      <c r="E23" s="2" t="s">
        <v>32</v>
      </c>
      <c r="G23" s="2">
        <v>0.995</v>
      </c>
      <c r="H23" s="2" t="s">
        <v>297</v>
      </c>
      <c r="I23" s="2">
        <v>41064</v>
      </c>
      <c r="J23" s="2" t="s">
        <v>284</v>
      </c>
      <c r="L23" s="2">
        <v>0.51600000000000001</v>
      </c>
      <c r="M23" s="2" t="s">
        <v>317</v>
      </c>
      <c r="N23" s="2">
        <v>4350</v>
      </c>
      <c r="O23" s="2" t="s">
        <v>30</v>
      </c>
      <c r="Q23" s="2">
        <v>0.27</v>
      </c>
      <c r="R23" s="2" t="s">
        <v>331</v>
      </c>
      <c r="S23" s="2">
        <v>1498</v>
      </c>
      <c r="T23" s="2" t="s">
        <v>28</v>
      </c>
      <c r="V23" s="2">
        <v>0.19</v>
      </c>
      <c r="W23" s="2" t="s">
        <v>339</v>
      </c>
      <c r="X23" s="2">
        <v>1498</v>
      </c>
      <c r="Y23" s="2" t="s">
        <v>37</v>
      </c>
      <c r="AA23" s="2">
        <v>0.124</v>
      </c>
      <c r="AB23" s="2" t="s">
        <v>106</v>
      </c>
      <c r="AC23" s="2">
        <v>960</v>
      </c>
      <c r="AD23" s="2" t="s">
        <v>280</v>
      </c>
      <c r="AF23" s="2">
        <v>0.9</v>
      </c>
      <c r="AG23" s="2" t="s">
        <v>311</v>
      </c>
      <c r="AH23" s="2">
        <v>2</v>
      </c>
      <c r="AI23" s="2" t="s">
        <v>250</v>
      </c>
      <c r="AK23" s="2">
        <v>0.78200000000000003</v>
      </c>
      <c r="AL23" s="2" t="s">
        <v>367</v>
      </c>
      <c r="AM23" s="2">
        <v>4680</v>
      </c>
      <c r="AN23" s="2" t="s">
        <v>280</v>
      </c>
      <c r="AP23" s="2">
        <v>0.127</v>
      </c>
      <c r="AQ23" s="2" t="s">
        <v>376</v>
      </c>
      <c r="AR23" s="2">
        <v>960</v>
      </c>
      <c r="AS23" s="2" t="s">
        <v>280</v>
      </c>
      <c r="AU23" s="2">
        <v>0.11799999999999999</v>
      </c>
      <c r="AV23" s="2" t="s">
        <v>376</v>
      </c>
      <c r="AW23" s="2">
        <v>960</v>
      </c>
      <c r="AX23" s="2" t="s">
        <v>280</v>
      </c>
      <c r="AZ23" s="2">
        <v>0.5</v>
      </c>
      <c r="BA23" s="2" t="s">
        <v>316</v>
      </c>
      <c r="BB23" s="2">
        <v>5238</v>
      </c>
      <c r="BC23" s="2" t="s">
        <v>26</v>
      </c>
      <c r="BE23" s="2">
        <v>0.11700000000000001</v>
      </c>
      <c r="BF23" s="2" t="s">
        <v>376</v>
      </c>
      <c r="BG23" s="2">
        <v>960</v>
      </c>
      <c r="BH23" s="2" t="s">
        <v>280</v>
      </c>
      <c r="BJ23" s="2">
        <v>0.12</v>
      </c>
      <c r="BK23" s="2" t="s">
        <v>106</v>
      </c>
      <c r="BL23" s="2">
        <v>960</v>
      </c>
      <c r="BM23" s="2" t="s">
        <v>280</v>
      </c>
    </row>
    <row r="24" spans="2:65" x14ac:dyDescent="0.2">
      <c r="B24" s="2">
        <v>0.38900000000000001</v>
      </c>
      <c r="C24" s="2" t="s">
        <v>282</v>
      </c>
      <c r="D24" s="2">
        <v>4216</v>
      </c>
      <c r="E24" s="2" t="s">
        <v>30</v>
      </c>
      <c r="G24" s="2">
        <v>0.98</v>
      </c>
      <c r="H24" s="2" t="s">
        <v>298</v>
      </c>
      <c r="I24" s="2">
        <v>8334</v>
      </c>
      <c r="J24" s="2" t="s">
        <v>32</v>
      </c>
      <c r="L24" s="2">
        <v>0.46</v>
      </c>
      <c r="M24" s="2" t="s">
        <v>318</v>
      </c>
      <c r="N24" s="2">
        <v>2175</v>
      </c>
      <c r="O24" s="2" t="s">
        <v>28</v>
      </c>
      <c r="Q24" s="2">
        <v>0.26200000000000001</v>
      </c>
      <c r="R24" s="2" t="s">
        <v>319</v>
      </c>
      <c r="S24" s="2">
        <v>1578</v>
      </c>
      <c r="T24" s="2" t="s">
        <v>19</v>
      </c>
      <c r="V24" s="2">
        <v>0.14099999999999999</v>
      </c>
      <c r="W24" s="2" t="s">
        <v>334</v>
      </c>
      <c r="X24" s="2">
        <v>960</v>
      </c>
      <c r="Y24" s="2" t="s">
        <v>280</v>
      </c>
      <c r="AA24" s="2">
        <v>8.5999999999999993E-2</v>
      </c>
      <c r="AB24" s="2" t="s">
        <v>340</v>
      </c>
      <c r="AC24" s="2">
        <v>4932</v>
      </c>
      <c r="AD24" s="2" t="s">
        <v>136</v>
      </c>
      <c r="AF24" s="2">
        <v>0.80500000000000005</v>
      </c>
      <c r="AG24" s="2" t="s">
        <v>331</v>
      </c>
      <c r="AH24" s="2">
        <v>4382</v>
      </c>
      <c r="AI24" s="2" t="s">
        <v>28</v>
      </c>
      <c r="AK24" s="2">
        <v>0.47499999999999998</v>
      </c>
      <c r="AL24" s="2" t="s">
        <v>340</v>
      </c>
      <c r="AM24" s="2">
        <v>23592</v>
      </c>
      <c r="AN24" s="2" t="s">
        <v>136</v>
      </c>
      <c r="AP24" s="2">
        <v>8.8999999999999996E-2</v>
      </c>
      <c r="AQ24" s="2" t="s">
        <v>340</v>
      </c>
      <c r="AR24" s="2">
        <v>4932</v>
      </c>
      <c r="AS24" s="2" t="s">
        <v>136</v>
      </c>
      <c r="AU24" s="2">
        <v>0.10100000000000001</v>
      </c>
      <c r="AV24" s="2" t="s">
        <v>340</v>
      </c>
      <c r="AW24" s="2">
        <v>4932</v>
      </c>
      <c r="AX24" s="2" t="s">
        <v>136</v>
      </c>
      <c r="AZ24" s="2">
        <v>0.48</v>
      </c>
      <c r="BA24" s="2" t="s">
        <v>374</v>
      </c>
      <c r="BB24" s="2">
        <v>5238</v>
      </c>
      <c r="BC24" s="2" t="s">
        <v>32</v>
      </c>
      <c r="BE24" s="2">
        <v>9.5000000000000001E-2</v>
      </c>
      <c r="BF24" s="2" t="s">
        <v>340</v>
      </c>
      <c r="BG24" s="2">
        <v>4932</v>
      </c>
      <c r="BH24" s="2" t="s">
        <v>136</v>
      </c>
      <c r="BJ24" s="2">
        <v>0.10100000000000001</v>
      </c>
      <c r="BK24" s="2" t="s">
        <v>340</v>
      </c>
      <c r="BL24" s="2">
        <v>4932</v>
      </c>
      <c r="BM24" s="2" t="s">
        <v>136</v>
      </c>
    </row>
    <row r="25" spans="2:65" x14ac:dyDescent="0.2">
      <c r="B25" s="2">
        <v>0.33400000000000002</v>
      </c>
      <c r="C25" s="2" t="s">
        <v>283</v>
      </c>
      <c r="D25" s="2">
        <v>20532</v>
      </c>
      <c r="E25" s="2" t="s">
        <v>284</v>
      </c>
      <c r="G25" s="2">
        <v>0.96</v>
      </c>
      <c r="H25" s="2" t="s">
        <v>98</v>
      </c>
      <c r="I25" s="2">
        <v>8334</v>
      </c>
      <c r="J25" s="2" t="s">
        <v>30</v>
      </c>
      <c r="L25" s="2">
        <v>0.44700000000000001</v>
      </c>
      <c r="M25" s="2" t="s">
        <v>319</v>
      </c>
      <c r="N25" s="2">
        <v>2282</v>
      </c>
      <c r="O25" s="2" t="s">
        <v>19</v>
      </c>
      <c r="Q25" s="2">
        <v>0.219</v>
      </c>
      <c r="R25" s="2" t="s">
        <v>332</v>
      </c>
      <c r="S25" s="2">
        <v>1498</v>
      </c>
      <c r="T25" s="2" t="s">
        <v>237</v>
      </c>
      <c r="V25" s="2">
        <v>9.1999999999999998E-2</v>
      </c>
      <c r="W25" s="2" t="s">
        <v>340</v>
      </c>
      <c r="X25" s="2">
        <v>4995</v>
      </c>
      <c r="Y25" s="2" t="s">
        <v>136</v>
      </c>
      <c r="AA25" s="2">
        <v>5.1999999999999998E-2</v>
      </c>
      <c r="AB25" s="2">
        <v>920</v>
      </c>
      <c r="AC25" s="2">
        <v>4032</v>
      </c>
      <c r="AD25" s="2" t="s">
        <v>48</v>
      </c>
      <c r="AF25" s="2">
        <v>0.79300000000000004</v>
      </c>
      <c r="AG25" s="2" t="s">
        <v>94</v>
      </c>
      <c r="AH25" s="2">
        <v>4696</v>
      </c>
      <c r="AI25" s="2" t="s">
        <v>19</v>
      </c>
      <c r="AK25" s="2">
        <v>0.31900000000000001</v>
      </c>
      <c r="AL25" s="2" t="s">
        <v>113</v>
      </c>
      <c r="AM25" s="2">
        <v>19656</v>
      </c>
      <c r="AN25" s="2" t="s">
        <v>48</v>
      </c>
      <c r="AP25" s="2">
        <v>6.2E-2</v>
      </c>
      <c r="AQ25" s="2">
        <v>952</v>
      </c>
      <c r="AR25" s="2">
        <v>4032</v>
      </c>
      <c r="AS25" s="2" t="s">
        <v>48</v>
      </c>
      <c r="AU25" s="2">
        <v>6.2E-2</v>
      </c>
      <c r="AV25" s="2">
        <v>864</v>
      </c>
      <c r="AW25" s="2">
        <v>4032</v>
      </c>
      <c r="AX25" s="2" t="s">
        <v>48</v>
      </c>
      <c r="AZ25" s="2">
        <v>0.47799999999999998</v>
      </c>
      <c r="BA25" s="2" t="s">
        <v>393</v>
      </c>
      <c r="BB25" s="2">
        <v>5238</v>
      </c>
      <c r="BC25" s="2" t="s">
        <v>30</v>
      </c>
      <c r="BE25" s="2">
        <v>5.5E-2</v>
      </c>
      <c r="BF25" s="2">
        <v>680</v>
      </c>
      <c r="BG25" s="2">
        <v>4032</v>
      </c>
      <c r="BH25" s="2" t="s">
        <v>48</v>
      </c>
      <c r="BJ25" s="2">
        <v>6.3E-2</v>
      </c>
      <c r="BK25" s="2">
        <v>880</v>
      </c>
      <c r="BL25" s="2">
        <v>4032</v>
      </c>
      <c r="BM25" s="2" t="s">
        <v>48</v>
      </c>
    </row>
    <row r="26" spans="2:65" x14ac:dyDescent="0.2">
      <c r="B26" s="2">
        <v>0.315</v>
      </c>
      <c r="C26" s="2" t="s">
        <v>285</v>
      </c>
      <c r="D26" s="2">
        <v>16959</v>
      </c>
      <c r="E26" s="2" t="s">
        <v>136</v>
      </c>
      <c r="G26" s="2">
        <v>0.94699999999999995</v>
      </c>
      <c r="H26" s="2" t="s">
        <v>299</v>
      </c>
      <c r="I26" s="2">
        <v>33906</v>
      </c>
      <c r="J26" s="2" t="s">
        <v>136</v>
      </c>
      <c r="L26" s="2">
        <v>0.36199999999999999</v>
      </c>
      <c r="M26" s="2">
        <v>400</v>
      </c>
      <c r="N26" s="2">
        <v>3676</v>
      </c>
      <c r="O26" s="2" t="s">
        <v>277</v>
      </c>
      <c r="Q26" s="2">
        <v>0.19500000000000001</v>
      </c>
      <c r="R26" s="2" t="s">
        <v>333</v>
      </c>
      <c r="S26" s="2">
        <v>1498</v>
      </c>
      <c r="T26" s="2" t="s">
        <v>37</v>
      </c>
      <c r="V26" s="2">
        <v>7.1999999999999995E-2</v>
      </c>
      <c r="W26" s="2" t="s">
        <v>311</v>
      </c>
      <c r="X26" s="2">
        <v>4252</v>
      </c>
      <c r="Y26" s="2" t="s">
        <v>48</v>
      </c>
      <c r="AA26" s="2">
        <v>4.7E-2</v>
      </c>
      <c r="AB26" s="2">
        <v>984</v>
      </c>
      <c r="AC26" s="2">
        <v>2688</v>
      </c>
      <c r="AD26" s="2" t="s">
        <v>131</v>
      </c>
      <c r="AF26" s="2">
        <v>0.752</v>
      </c>
      <c r="AG26" s="2" t="s">
        <v>264</v>
      </c>
      <c r="AH26" s="2">
        <v>48</v>
      </c>
      <c r="AI26" s="2" t="s">
        <v>355</v>
      </c>
      <c r="AK26" s="2">
        <v>0.28000000000000003</v>
      </c>
      <c r="AL26" s="2" t="s">
        <v>113</v>
      </c>
      <c r="AM26" s="2">
        <v>13104</v>
      </c>
      <c r="AN26" s="2" t="s">
        <v>131</v>
      </c>
      <c r="AP26" s="2">
        <v>5.8000000000000003E-2</v>
      </c>
      <c r="AQ26" s="2" t="s">
        <v>113</v>
      </c>
      <c r="AR26" s="2">
        <v>2688</v>
      </c>
      <c r="AS26" s="2" t="s">
        <v>131</v>
      </c>
      <c r="AU26" s="2">
        <v>5.6000000000000001E-2</v>
      </c>
      <c r="AV26" s="2" t="s">
        <v>113</v>
      </c>
      <c r="AW26" s="2">
        <v>2688</v>
      </c>
      <c r="AX26" s="2" t="s">
        <v>131</v>
      </c>
      <c r="AZ26" s="2">
        <v>0.33900000000000002</v>
      </c>
      <c r="BA26" s="2" t="s">
        <v>394</v>
      </c>
      <c r="BB26" s="2">
        <v>618</v>
      </c>
      <c r="BC26" s="2" t="s">
        <v>265</v>
      </c>
      <c r="BE26" s="2">
        <v>5.1999999999999998E-2</v>
      </c>
      <c r="BF26" s="2" t="s">
        <v>47</v>
      </c>
      <c r="BG26" s="2">
        <v>2688</v>
      </c>
      <c r="BH26" s="2" t="s">
        <v>131</v>
      </c>
      <c r="BJ26" s="2">
        <v>5.3999999999999999E-2</v>
      </c>
      <c r="BK26" s="2">
        <v>752</v>
      </c>
      <c r="BL26" s="2">
        <v>2688</v>
      </c>
      <c r="BM26" s="2" t="s">
        <v>131</v>
      </c>
    </row>
    <row r="27" spans="2:65" x14ac:dyDescent="0.2">
      <c r="B27" s="2">
        <v>0.215</v>
      </c>
      <c r="C27" s="2">
        <v>984</v>
      </c>
      <c r="D27" s="2">
        <v>12744</v>
      </c>
      <c r="E27" s="2" t="s">
        <v>48</v>
      </c>
      <c r="G27" s="2">
        <v>0.59299999999999997</v>
      </c>
      <c r="H27" s="2" t="s">
        <v>177</v>
      </c>
      <c r="I27" s="2">
        <v>12036</v>
      </c>
      <c r="J27" s="2" t="s">
        <v>300</v>
      </c>
      <c r="L27" s="2">
        <v>0.36</v>
      </c>
      <c r="M27" s="2" t="s">
        <v>320</v>
      </c>
      <c r="N27" s="2">
        <v>2175</v>
      </c>
      <c r="O27" s="2" t="s">
        <v>237</v>
      </c>
      <c r="Q27" s="2">
        <v>0.17499999999999999</v>
      </c>
      <c r="R27" s="2" t="s">
        <v>334</v>
      </c>
      <c r="S27" s="2">
        <v>960</v>
      </c>
      <c r="T27" s="2" t="s">
        <v>280</v>
      </c>
      <c r="V27" s="2">
        <v>5.5E-2</v>
      </c>
      <c r="W27" s="2" t="s">
        <v>113</v>
      </c>
      <c r="X27" s="2">
        <v>2772</v>
      </c>
      <c r="Y27" s="2" t="s">
        <v>131</v>
      </c>
      <c r="AA27" s="2">
        <v>3.9E-2</v>
      </c>
      <c r="AB27" s="2">
        <v>456</v>
      </c>
      <c r="AC27" s="2">
        <v>2688</v>
      </c>
      <c r="AD27" s="2" t="s">
        <v>50</v>
      </c>
      <c r="AF27" s="2">
        <v>0.67500000000000004</v>
      </c>
      <c r="AG27" s="2" t="s">
        <v>320</v>
      </c>
      <c r="AH27" s="2">
        <v>4382</v>
      </c>
      <c r="AI27" s="2" t="s">
        <v>237</v>
      </c>
      <c r="AK27" s="2">
        <v>0.218</v>
      </c>
      <c r="AL27" s="2">
        <v>680</v>
      </c>
      <c r="AM27" s="2">
        <v>13104</v>
      </c>
      <c r="AN27" s="2" t="s">
        <v>50</v>
      </c>
      <c r="AP27" s="2">
        <v>4.4999999999999998E-2</v>
      </c>
      <c r="AQ27" s="2" t="s">
        <v>40</v>
      </c>
      <c r="AR27" s="2">
        <v>32</v>
      </c>
      <c r="AS27" s="2" t="s">
        <v>132</v>
      </c>
      <c r="AU27" s="2">
        <v>4.2999999999999997E-2</v>
      </c>
      <c r="AV27" s="2">
        <v>544</v>
      </c>
      <c r="AW27" s="2">
        <v>2688</v>
      </c>
      <c r="AX27" s="2" t="s">
        <v>50</v>
      </c>
      <c r="AZ27" s="2">
        <v>0.29399999999999998</v>
      </c>
      <c r="BA27" s="2" t="s">
        <v>375</v>
      </c>
      <c r="BB27" s="2">
        <v>2619</v>
      </c>
      <c r="BC27" s="2" t="s">
        <v>237</v>
      </c>
      <c r="BE27" s="2">
        <v>4.5999999999999999E-2</v>
      </c>
      <c r="BF27" s="2" t="s">
        <v>403</v>
      </c>
      <c r="BG27" s="2">
        <v>1088</v>
      </c>
      <c r="BH27" s="2" t="s">
        <v>300</v>
      </c>
      <c r="BJ27" s="2">
        <v>5.0999999999999997E-2</v>
      </c>
      <c r="BK27" s="2" t="s">
        <v>40</v>
      </c>
      <c r="BL27" s="2">
        <v>32</v>
      </c>
      <c r="BM27" s="2" t="s">
        <v>132</v>
      </c>
    </row>
    <row r="29" spans="2:65" x14ac:dyDescent="0.2">
      <c r="B29">
        <f>SUM(B2:B27)</f>
        <v>1054.7239999999999</v>
      </c>
      <c r="G29">
        <f>SUM(G2:G27)</f>
        <v>2284.2800000000002</v>
      </c>
      <c r="L29">
        <f>SUM(L2:L27)</f>
        <v>368.51600000000002</v>
      </c>
      <c r="Q29">
        <f>SUM(Q2:Q27)</f>
        <v>228.203</v>
      </c>
      <c r="V29">
        <f>SUM(V2:V27)</f>
        <v>216.38399999999996</v>
      </c>
      <c r="AA29">
        <f>SUM(AA2:AA27)</f>
        <v>213.81099999999995</v>
      </c>
      <c r="AF29">
        <f>SUM(AF2:AF27)</f>
        <v>1036.2000000000003</v>
      </c>
      <c r="AK29">
        <f>SUM(AK2:AK27)</f>
        <v>1159.9449999999999</v>
      </c>
      <c r="AP29">
        <f>SUM(AP2:AP27)</f>
        <v>193.60099999999997</v>
      </c>
      <c r="AU29">
        <f>SUM(AU2:AU27)</f>
        <v>216.71599999999992</v>
      </c>
      <c r="AZ29">
        <f>SUM(AZ2:AZ27)</f>
        <v>351.63100000000009</v>
      </c>
      <c r="BE29">
        <f>SUM(BE2:BE27)</f>
        <v>199.58099999999999</v>
      </c>
      <c r="BJ29">
        <f>SUM(BJ2:BJ27)</f>
        <v>198.02800000000005</v>
      </c>
    </row>
    <row r="31" spans="2:65" x14ac:dyDescent="0.2">
      <c r="B31" t="s">
        <v>287</v>
      </c>
      <c r="C31" t="s">
        <v>288</v>
      </c>
      <c r="G31" t="s">
        <v>287</v>
      </c>
      <c r="H31" t="s">
        <v>288</v>
      </c>
      <c r="L31" t="s">
        <v>287</v>
      </c>
      <c r="M31" t="s">
        <v>288</v>
      </c>
      <c r="Q31" t="s">
        <v>287</v>
      </c>
      <c r="R31" t="s">
        <v>288</v>
      </c>
      <c r="V31" t="s">
        <v>287</v>
      </c>
      <c r="W31" t="s">
        <v>288</v>
      </c>
      <c r="AA31" t="s">
        <v>287</v>
      </c>
      <c r="AB31" t="s">
        <v>288</v>
      </c>
      <c r="AF31" t="s">
        <v>356</v>
      </c>
      <c r="AG31" t="s">
        <v>288</v>
      </c>
      <c r="AK31" t="s">
        <v>357</v>
      </c>
      <c r="AL31" t="s">
        <v>288</v>
      </c>
      <c r="AP31" t="s">
        <v>287</v>
      </c>
      <c r="AQ31" t="s">
        <v>288</v>
      </c>
      <c r="AU31" t="s">
        <v>287</v>
      </c>
      <c r="AV31" t="s">
        <v>288</v>
      </c>
      <c r="AZ31" t="s">
        <v>287</v>
      </c>
      <c r="BA31" t="s">
        <v>288</v>
      </c>
      <c r="BE31" t="s">
        <v>287</v>
      </c>
      <c r="BF31" t="s">
        <v>288</v>
      </c>
      <c r="BJ31" t="s">
        <v>287</v>
      </c>
      <c r="BK31" t="s">
        <v>288</v>
      </c>
    </row>
    <row r="32" spans="2:65" x14ac:dyDescent="0.2">
      <c r="B32">
        <v>8</v>
      </c>
      <c r="C32" t="s">
        <v>286</v>
      </c>
      <c r="G32">
        <v>8</v>
      </c>
      <c r="H32" t="s">
        <v>286</v>
      </c>
      <c r="L32">
        <v>8</v>
      </c>
      <c r="M32" t="s">
        <v>286</v>
      </c>
      <c r="Q32">
        <v>8</v>
      </c>
      <c r="R32" t="s">
        <v>286</v>
      </c>
      <c r="V32">
        <v>8</v>
      </c>
      <c r="W32" t="s">
        <v>286</v>
      </c>
      <c r="AA32">
        <v>8</v>
      </c>
      <c r="AB32" t="s">
        <v>286</v>
      </c>
      <c r="AF32">
        <v>8</v>
      </c>
      <c r="AG32" t="s">
        <v>286</v>
      </c>
      <c r="AK32">
        <v>30</v>
      </c>
      <c r="AL32" t="s">
        <v>286</v>
      </c>
      <c r="AP32">
        <v>8</v>
      </c>
      <c r="AQ32" t="s">
        <v>286</v>
      </c>
      <c r="AU32">
        <v>8</v>
      </c>
      <c r="AV32" t="s">
        <v>286</v>
      </c>
      <c r="AZ32">
        <v>8</v>
      </c>
      <c r="BA32" t="s">
        <v>286</v>
      </c>
      <c r="BE32">
        <v>8</v>
      </c>
      <c r="BF32" t="s">
        <v>286</v>
      </c>
      <c r="BJ32">
        <v>8</v>
      </c>
      <c r="BK32" t="s">
        <v>286</v>
      </c>
    </row>
    <row r="33" spans="2:63" x14ac:dyDescent="0.2">
      <c r="B33">
        <v>20</v>
      </c>
      <c r="C33" t="s">
        <v>289</v>
      </c>
      <c r="G33">
        <v>20</v>
      </c>
      <c r="H33" t="s">
        <v>289</v>
      </c>
      <c r="L33">
        <v>20</v>
      </c>
      <c r="M33" t="s">
        <v>289</v>
      </c>
      <c r="Q33">
        <v>20</v>
      </c>
      <c r="R33" t="s">
        <v>289</v>
      </c>
      <c r="V33">
        <v>20</v>
      </c>
      <c r="W33" t="s">
        <v>289</v>
      </c>
      <c r="AA33">
        <v>20</v>
      </c>
      <c r="AB33" t="s">
        <v>289</v>
      </c>
      <c r="AF33">
        <v>20</v>
      </c>
      <c r="AG33" t="s">
        <v>289</v>
      </c>
      <c r="AK33">
        <v>20</v>
      </c>
      <c r="AL33" t="s">
        <v>289</v>
      </c>
      <c r="AP33">
        <v>20</v>
      </c>
      <c r="AQ33" t="s">
        <v>289</v>
      </c>
      <c r="AU33">
        <v>20</v>
      </c>
      <c r="AV33" t="s">
        <v>289</v>
      </c>
      <c r="AZ33">
        <v>20</v>
      </c>
      <c r="BA33" t="s">
        <v>289</v>
      </c>
      <c r="BE33">
        <v>20</v>
      </c>
      <c r="BF33" t="s">
        <v>289</v>
      </c>
      <c r="BJ33">
        <v>20</v>
      </c>
      <c r="BK33" t="s">
        <v>289</v>
      </c>
    </row>
    <row r="34" spans="2:63" x14ac:dyDescent="0.2">
      <c r="B34">
        <v>10</v>
      </c>
      <c r="C34" t="s">
        <v>301</v>
      </c>
      <c r="G34" t="s">
        <v>302</v>
      </c>
      <c r="L34" t="s">
        <v>302</v>
      </c>
      <c r="Q34">
        <v>10</v>
      </c>
      <c r="R34" t="s">
        <v>301</v>
      </c>
      <c r="V34">
        <v>10</v>
      </c>
      <c r="W34" t="s">
        <v>301</v>
      </c>
      <c r="AA34">
        <v>10</v>
      </c>
      <c r="AB34" t="s">
        <v>301</v>
      </c>
      <c r="AF34">
        <v>10</v>
      </c>
      <c r="AG34" t="s">
        <v>301</v>
      </c>
      <c r="AK34">
        <v>10</v>
      </c>
      <c r="AL34" t="s">
        <v>301</v>
      </c>
      <c r="AP34">
        <v>10</v>
      </c>
      <c r="AQ34" t="s">
        <v>301</v>
      </c>
      <c r="AU34">
        <v>10</v>
      </c>
      <c r="AV34" t="s">
        <v>301</v>
      </c>
      <c r="AZ34">
        <v>10</v>
      </c>
      <c r="BA34" t="s">
        <v>301</v>
      </c>
      <c r="BE34">
        <v>10</v>
      </c>
      <c r="BF34" t="s">
        <v>301</v>
      </c>
      <c r="BJ34">
        <v>10</v>
      </c>
      <c r="BK34" t="s">
        <v>301</v>
      </c>
    </row>
    <row r="35" spans="2:63" x14ac:dyDescent="0.2">
      <c r="B35">
        <v>4</v>
      </c>
      <c r="C35" t="s">
        <v>303</v>
      </c>
      <c r="G35">
        <v>4</v>
      </c>
      <c r="H35" t="s">
        <v>303</v>
      </c>
      <c r="L35">
        <v>1</v>
      </c>
      <c r="M35" t="s">
        <v>303</v>
      </c>
      <c r="Q35">
        <v>1</v>
      </c>
      <c r="R35" t="s">
        <v>303</v>
      </c>
      <c r="V35">
        <v>1</v>
      </c>
      <c r="W35" t="s">
        <v>303</v>
      </c>
      <c r="AA35">
        <v>1</v>
      </c>
      <c r="AB35" t="s">
        <v>303</v>
      </c>
      <c r="AF35">
        <v>1</v>
      </c>
      <c r="AG35" t="s">
        <v>303</v>
      </c>
      <c r="AK35">
        <v>1</v>
      </c>
      <c r="AL35" t="s">
        <v>303</v>
      </c>
      <c r="AP35">
        <v>1</v>
      </c>
      <c r="AQ35" t="s">
        <v>303</v>
      </c>
      <c r="AU35">
        <v>1</v>
      </c>
      <c r="AV35" t="s">
        <v>303</v>
      </c>
      <c r="AZ35">
        <v>1</v>
      </c>
      <c r="BA35" t="s">
        <v>303</v>
      </c>
      <c r="BE35">
        <v>1</v>
      </c>
      <c r="BF35" t="s">
        <v>303</v>
      </c>
      <c r="BJ35">
        <v>1</v>
      </c>
      <c r="BK35" t="s">
        <v>303</v>
      </c>
    </row>
    <row r="36" spans="2:63" x14ac:dyDescent="0.2">
      <c r="B36" t="s">
        <v>323</v>
      </c>
      <c r="C36" t="s">
        <v>322</v>
      </c>
      <c r="G36" t="s">
        <v>323</v>
      </c>
      <c r="H36" t="s">
        <v>322</v>
      </c>
      <c r="L36" t="s">
        <v>321</v>
      </c>
      <c r="M36" t="s">
        <v>322</v>
      </c>
      <c r="Q36" t="s">
        <v>321</v>
      </c>
      <c r="R36" t="s">
        <v>322</v>
      </c>
      <c r="V36" t="s">
        <v>321</v>
      </c>
      <c r="W36" t="s">
        <v>322</v>
      </c>
      <c r="AA36" t="s">
        <v>347</v>
      </c>
      <c r="AB36" t="s">
        <v>322</v>
      </c>
      <c r="AF36" t="s">
        <v>347</v>
      </c>
      <c r="AG36" t="s">
        <v>322</v>
      </c>
      <c r="AK36" t="s">
        <v>368</v>
      </c>
      <c r="AL36" t="s">
        <v>322</v>
      </c>
      <c r="AP36" t="s">
        <v>321</v>
      </c>
      <c r="AQ36" t="s">
        <v>322</v>
      </c>
      <c r="AU36" t="s">
        <v>379</v>
      </c>
      <c r="AV36" t="s">
        <v>322</v>
      </c>
      <c r="AZ36" t="s">
        <v>379</v>
      </c>
      <c r="BA36" t="s">
        <v>322</v>
      </c>
      <c r="BE36" t="s">
        <v>379</v>
      </c>
      <c r="BF36" t="s">
        <v>322</v>
      </c>
      <c r="BJ36" t="s">
        <v>379</v>
      </c>
      <c r="BK36" t="s">
        <v>322</v>
      </c>
    </row>
    <row r="37" spans="2:63" x14ac:dyDescent="0.2">
      <c r="Q37" t="s">
        <v>335</v>
      </c>
      <c r="V37" t="s">
        <v>345</v>
      </c>
      <c r="AA37" t="s">
        <v>346</v>
      </c>
      <c r="AK37" t="s">
        <v>369</v>
      </c>
      <c r="AP37" t="s">
        <v>377</v>
      </c>
      <c r="AU37" t="s">
        <v>380</v>
      </c>
      <c r="AV37">
        <v>60</v>
      </c>
      <c r="AZ37" t="s">
        <v>380</v>
      </c>
      <c r="BA37">
        <v>60</v>
      </c>
      <c r="BE37" t="s">
        <v>380</v>
      </c>
      <c r="BF37">
        <v>60</v>
      </c>
      <c r="BJ37" t="s">
        <v>380</v>
      </c>
      <c r="BK37">
        <v>60</v>
      </c>
    </row>
    <row r="38" spans="2:63" x14ac:dyDescent="0.2">
      <c r="L38" t="s">
        <v>344</v>
      </c>
      <c r="Q38" t="s">
        <v>344</v>
      </c>
      <c r="V38" t="s">
        <v>344</v>
      </c>
      <c r="AK38" t="s">
        <v>370</v>
      </c>
      <c r="AP38" t="s">
        <v>378</v>
      </c>
      <c r="AU38" t="s">
        <v>381</v>
      </c>
      <c r="AZ38" t="s">
        <v>381</v>
      </c>
      <c r="BE38" t="s">
        <v>396</v>
      </c>
      <c r="BJ38" t="s">
        <v>396</v>
      </c>
    </row>
    <row r="39" spans="2:63" x14ac:dyDescent="0.2">
      <c r="BE39" t="s">
        <v>397</v>
      </c>
      <c r="BJ39" t="s">
        <v>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0B494-998A-2D4B-9415-4A2C0FCFD11C}">
  <dimension ref="A1:N36"/>
  <sheetViews>
    <sheetView tabSelected="1" workbookViewId="0">
      <selection activeCell="Q38" sqref="Q38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1</v>
      </c>
      <c r="H1" s="1" t="s">
        <v>2</v>
      </c>
      <c r="I1" s="1" t="s">
        <v>3</v>
      </c>
      <c r="K1" s="1" t="s">
        <v>0</v>
      </c>
      <c r="L1" s="1" t="s">
        <v>1</v>
      </c>
      <c r="M1" s="1" t="s">
        <v>2</v>
      </c>
      <c r="N1" s="1" t="s">
        <v>3</v>
      </c>
    </row>
    <row r="2" spans="1:14" x14ac:dyDescent="0.2">
      <c r="A2" s="2">
        <v>123.593</v>
      </c>
      <c r="B2" s="2" t="s">
        <v>404</v>
      </c>
      <c r="C2" s="2">
        <v>67</v>
      </c>
      <c r="D2" s="2" t="s">
        <v>312</v>
      </c>
      <c r="F2" s="2">
        <v>187.166</v>
      </c>
      <c r="G2" s="2" t="s">
        <v>426</v>
      </c>
      <c r="H2" s="2">
        <v>67</v>
      </c>
      <c r="I2" s="2" t="s">
        <v>314</v>
      </c>
      <c r="K2" s="2">
        <v>1814.173</v>
      </c>
      <c r="L2" s="2" t="s">
        <v>432</v>
      </c>
      <c r="M2" s="2">
        <v>43928</v>
      </c>
      <c r="N2" s="2" t="s">
        <v>407</v>
      </c>
    </row>
    <row r="3" spans="1:14" x14ac:dyDescent="0.2">
      <c r="A3" s="2">
        <v>102.977</v>
      </c>
      <c r="B3" s="2" t="s">
        <v>405</v>
      </c>
      <c r="C3" s="2">
        <v>67</v>
      </c>
      <c r="D3" s="2" t="s">
        <v>314</v>
      </c>
      <c r="F3" s="2">
        <v>132.274</v>
      </c>
      <c r="G3" s="2" t="s">
        <v>427</v>
      </c>
      <c r="H3" s="2">
        <v>67</v>
      </c>
      <c r="I3" s="2" t="s">
        <v>312</v>
      </c>
      <c r="K3" s="2">
        <v>847.62099999999998</v>
      </c>
      <c r="L3" s="2" t="s">
        <v>433</v>
      </c>
      <c r="M3" s="2">
        <v>2774</v>
      </c>
      <c r="N3" s="2" t="s">
        <v>409</v>
      </c>
    </row>
    <row r="4" spans="1:14" x14ac:dyDescent="0.2">
      <c r="A4" s="2">
        <v>78.177000000000007</v>
      </c>
      <c r="B4" s="2" t="s">
        <v>406</v>
      </c>
      <c r="C4" s="2">
        <v>1768</v>
      </c>
      <c r="D4" s="2" t="s">
        <v>407</v>
      </c>
      <c r="F4" s="2">
        <v>77.238</v>
      </c>
      <c r="G4" s="2" t="s">
        <v>428</v>
      </c>
      <c r="H4" s="2">
        <v>1608</v>
      </c>
      <c r="I4" s="2" t="s">
        <v>407</v>
      </c>
      <c r="K4" s="2">
        <v>429.76600000000002</v>
      </c>
      <c r="L4" s="2" t="s">
        <v>412</v>
      </c>
      <c r="M4" s="2">
        <v>8208</v>
      </c>
      <c r="N4" s="2" t="s">
        <v>238</v>
      </c>
    </row>
    <row r="5" spans="1:14" x14ac:dyDescent="0.2">
      <c r="A5" s="2">
        <v>63.636000000000003</v>
      </c>
      <c r="B5" s="2" t="s">
        <v>408</v>
      </c>
      <c r="C5" s="2">
        <v>400</v>
      </c>
      <c r="D5" s="2" t="s">
        <v>409</v>
      </c>
      <c r="F5" s="2">
        <v>64.566000000000003</v>
      </c>
      <c r="G5" s="2" t="s">
        <v>408</v>
      </c>
      <c r="H5" s="2">
        <v>400</v>
      </c>
      <c r="I5" s="2" t="s">
        <v>409</v>
      </c>
      <c r="K5" s="2">
        <v>413.351</v>
      </c>
      <c r="L5" s="2" t="s">
        <v>179</v>
      </c>
      <c r="M5" s="2">
        <v>152</v>
      </c>
      <c r="N5" s="2" t="s">
        <v>250</v>
      </c>
    </row>
    <row r="6" spans="1:14" x14ac:dyDescent="0.2">
      <c r="A6" s="2">
        <v>26.943000000000001</v>
      </c>
      <c r="B6" s="2" t="s">
        <v>40</v>
      </c>
      <c r="C6" s="2">
        <v>8</v>
      </c>
      <c r="D6" s="2" t="s">
        <v>250</v>
      </c>
      <c r="F6" s="2">
        <v>25.82</v>
      </c>
      <c r="G6" s="2" t="s">
        <v>40</v>
      </c>
      <c r="H6" s="2">
        <v>8</v>
      </c>
      <c r="I6" s="2" t="s">
        <v>250</v>
      </c>
      <c r="K6" s="2">
        <v>364.30799999999999</v>
      </c>
      <c r="L6" s="2" t="s">
        <v>214</v>
      </c>
      <c r="M6" s="2">
        <v>433198</v>
      </c>
      <c r="N6" s="2" t="s">
        <v>9</v>
      </c>
    </row>
    <row r="7" spans="1:14" x14ac:dyDescent="0.2">
      <c r="A7" s="2">
        <v>25.79</v>
      </c>
      <c r="B7" s="2" t="s">
        <v>410</v>
      </c>
      <c r="C7" s="2">
        <v>17663</v>
      </c>
      <c r="D7" s="2" t="s">
        <v>9</v>
      </c>
      <c r="F7" s="2">
        <v>21.54</v>
      </c>
      <c r="G7" s="2" t="s">
        <v>410</v>
      </c>
      <c r="H7" s="2">
        <v>17209</v>
      </c>
      <c r="I7" s="2" t="s">
        <v>9</v>
      </c>
      <c r="K7" s="2">
        <v>144.38499999999999</v>
      </c>
      <c r="L7" s="2" t="s">
        <v>126</v>
      </c>
      <c r="M7" s="2">
        <v>745</v>
      </c>
      <c r="N7" s="2" t="s">
        <v>312</v>
      </c>
    </row>
    <row r="8" spans="1:14" x14ac:dyDescent="0.2">
      <c r="A8" s="2">
        <v>17.318000000000001</v>
      </c>
      <c r="B8" s="2" t="s">
        <v>16</v>
      </c>
      <c r="C8" s="2">
        <v>1151</v>
      </c>
      <c r="D8" s="2" t="s">
        <v>310</v>
      </c>
      <c r="F8" s="2">
        <v>19.844999999999999</v>
      </c>
      <c r="G8" s="2" t="s">
        <v>16</v>
      </c>
      <c r="H8" s="2">
        <v>1151</v>
      </c>
      <c r="I8" s="2" t="s">
        <v>310</v>
      </c>
      <c r="K8" s="2">
        <v>143.44300000000001</v>
      </c>
      <c r="L8" s="2" t="s">
        <v>434</v>
      </c>
      <c r="M8" s="2">
        <v>745</v>
      </c>
      <c r="N8" s="2" t="s">
        <v>314</v>
      </c>
    </row>
    <row r="9" spans="1:14" x14ac:dyDescent="0.2">
      <c r="A9" s="2">
        <v>17.227</v>
      </c>
      <c r="B9" s="2" t="s">
        <v>411</v>
      </c>
      <c r="C9" s="2">
        <v>330</v>
      </c>
      <c r="D9" s="2" t="s">
        <v>238</v>
      </c>
      <c r="F9" s="2">
        <v>17.331</v>
      </c>
      <c r="G9" s="2" t="s">
        <v>411</v>
      </c>
      <c r="H9" s="2">
        <v>300</v>
      </c>
      <c r="I9" s="2" t="s">
        <v>238</v>
      </c>
      <c r="K9" s="2">
        <v>116.316</v>
      </c>
      <c r="L9" s="2" t="s">
        <v>435</v>
      </c>
      <c r="M9" s="2">
        <v>881261</v>
      </c>
      <c r="N9" s="2" t="s">
        <v>7</v>
      </c>
    </row>
    <row r="10" spans="1:14" x14ac:dyDescent="0.2">
      <c r="A10" s="2">
        <v>9.3610000000000007</v>
      </c>
      <c r="B10" s="2" t="s">
        <v>412</v>
      </c>
      <c r="C10" s="2">
        <v>74941</v>
      </c>
      <c r="D10" s="2" t="s">
        <v>7</v>
      </c>
      <c r="F10" s="2">
        <v>10.521000000000001</v>
      </c>
      <c r="G10" s="2" t="s">
        <v>412</v>
      </c>
      <c r="H10" s="2">
        <v>77620</v>
      </c>
      <c r="I10" s="2" t="s">
        <v>7</v>
      </c>
      <c r="K10" s="2">
        <v>70.344999999999999</v>
      </c>
      <c r="L10" s="2" t="s">
        <v>212</v>
      </c>
      <c r="M10" s="2">
        <v>304</v>
      </c>
      <c r="N10" s="2" t="s">
        <v>305</v>
      </c>
    </row>
    <row r="11" spans="1:14" x14ac:dyDescent="0.2">
      <c r="A11" s="2">
        <v>2.1320000000000001</v>
      </c>
      <c r="B11" s="2" t="s">
        <v>413</v>
      </c>
      <c r="C11" s="2">
        <v>8</v>
      </c>
      <c r="D11" s="2" t="s">
        <v>414</v>
      </c>
      <c r="F11" s="2">
        <v>2.0430000000000001</v>
      </c>
      <c r="G11" s="2" t="s">
        <v>413</v>
      </c>
      <c r="H11" s="2">
        <v>8</v>
      </c>
      <c r="I11" s="2" t="s">
        <v>414</v>
      </c>
      <c r="K11" s="2">
        <v>26.742000000000001</v>
      </c>
      <c r="L11" s="2" t="s">
        <v>220</v>
      </c>
      <c r="M11" s="2">
        <v>608</v>
      </c>
      <c r="N11" s="2" t="s">
        <v>389</v>
      </c>
    </row>
    <row r="12" spans="1:14" x14ac:dyDescent="0.2">
      <c r="A12" s="2">
        <v>1.794</v>
      </c>
      <c r="B12" s="2" t="s">
        <v>40</v>
      </c>
      <c r="C12" s="2">
        <v>24</v>
      </c>
      <c r="D12" s="2" t="s">
        <v>387</v>
      </c>
      <c r="F12" s="2">
        <v>1.907</v>
      </c>
      <c r="G12" s="2" t="s">
        <v>40</v>
      </c>
      <c r="H12" s="2">
        <v>24</v>
      </c>
      <c r="I12" s="2" t="s">
        <v>387</v>
      </c>
      <c r="K12" s="2">
        <v>18.395</v>
      </c>
      <c r="L12" s="2" t="s">
        <v>179</v>
      </c>
      <c r="M12" s="2">
        <v>456</v>
      </c>
      <c r="N12" s="2" t="s">
        <v>387</v>
      </c>
    </row>
    <row r="13" spans="1:14" x14ac:dyDescent="0.2">
      <c r="A13" s="2">
        <v>1.51</v>
      </c>
      <c r="B13" s="2" t="s">
        <v>10</v>
      </c>
      <c r="C13" s="2">
        <v>12262</v>
      </c>
      <c r="D13" s="2" t="s">
        <v>13</v>
      </c>
      <c r="F13" s="2">
        <v>1.768</v>
      </c>
      <c r="G13" s="2" t="s">
        <v>416</v>
      </c>
      <c r="H13" s="2">
        <v>32</v>
      </c>
      <c r="I13" s="2" t="s">
        <v>389</v>
      </c>
      <c r="K13" s="2">
        <v>10.122999999999999</v>
      </c>
      <c r="L13" s="2" t="s">
        <v>27</v>
      </c>
      <c r="M13" s="2">
        <v>86568</v>
      </c>
      <c r="N13" s="2" t="s">
        <v>13</v>
      </c>
    </row>
    <row r="14" spans="1:14" x14ac:dyDescent="0.2">
      <c r="A14" s="2">
        <v>1.51</v>
      </c>
      <c r="B14" s="2" t="s">
        <v>413</v>
      </c>
      <c r="C14" s="2">
        <v>6</v>
      </c>
      <c r="D14" s="2" t="s">
        <v>415</v>
      </c>
      <c r="F14" s="2">
        <v>1.6060000000000001</v>
      </c>
      <c r="G14" s="2" t="s">
        <v>10</v>
      </c>
      <c r="H14" s="2">
        <v>12262</v>
      </c>
      <c r="I14" s="2" t="s">
        <v>13</v>
      </c>
      <c r="K14" s="2">
        <v>7.7590000000000003</v>
      </c>
      <c r="L14" s="2" t="s">
        <v>174</v>
      </c>
      <c r="M14" s="2">
        <v>71042</v>
      </c>
      <c r="N14" s="2" t="s">
        <v>11</v>
      </c>
    </row>
    <row r="15" spans="1:14" x14ac:dyDescent="0.2">
      <c r="A15" s="2">
        <v>1.403</v>
      </c>
      <c r="B15" s="2" t="s">
        <v>416</v>
      </c>
      <c r="C15" s="2">
        <v>32</v>
      </c>
      <c r="D15" s="2" t="s">
        <v>389</v>
      </c>
      <c r="F15" s="2">
        <v>1.427</v>
      </c>
      <c r="G15" s="2" t="s">
        <v>413</v>
      </c>
      <c r="H15" s="2">
        <v>6</v>
      </c>
      <c r="I15" s="2" t="s">
        <v>415</v>
      </c>
      <c r="K15" s="2">
        <v>7.5060000000000002</v>
      </c>
      <c r="L15" s="2" t="s">
        <v>179</v>
      </c>
      <c r="M15" s="2">
        <v>152</v>
      </c>
      <c r="N15" s="2" t="s">
        <v>417</v>
      </c>
    </row>
    <row r="16" spans="1:14" x14ac:dyDescent="0.2">
      <c r="A16" s="2">
        <v>1.302</v>
      </c>
      <c r="B16" s="2" t="s">
        <v>413</v>
      </c>
      <c r="C16" s="2">
        <v>9870</v>
      </c>
      <c r="D16" s="2" t="s">
        <v>11</v>
      </c>
      <c r="F16" s="2">
        <v>1.3819999999999999</v>
      </c>
      <c r="G16" s="2" t="s">
        <v>413</v>
      </c>
      <c r="H16" s="2">
        <v>9870</v>
      </c>
      <c r="I16" s="2" t="s">
        <v>11</v>
      </c>
      <c r="K16" s="2">
        <v>6.56</v>
      </c>
      <c r="L16" s="2" t="s">
        <v>179</v>
      </c>
      <c r="M16" s="2">
        <v>608</v>
      </c>
      <c r="N16" s="2" t="s">
        <v>419</v>
      </c>
    </row>
    <row r="17" spans="1:14" x14ac:dyDescent="0.2">
      <c r="A17" s="2">
        <v>0.97199999999999998</v>
      </c>
      <c r="B17" s="2" t="s">
        <v>67</v>
      </c>
      <c r="C17" s="2">
        <v>109</v>
      </c>
      <c r="D17" s="2" t="s">
        <v>265</v>
      </c>
      <c r="F17" s="2">
        <v>1.371</v>
      </c>
      <c r="G17" s="2" t="s">
        <v>67</v>
      </c>
      <c r="H17" s="2">
        <v>309</v>
      </c>
      <c r="I17" s="2" t="s">
        <v>265</v>
      </c>
      <c r="K17" s="2">
        <v>5.5759999999999996</v>
      </c>
      <c r="L17" s="2" t="s">
        <v>436</v>
      </c>
      <c r="M17" s="2">
        <v>1675</v>
      </c>
      <c r="N17" s="2" t="s">
        <v>265</v>
      </c>
    </row>
    <row r="18" spans="1:14" x14ac:dyDescent="0.2">
      <c r="A18" s="2">
        <v>0.51800000000000002</v>
      </c>
      <c r="B18" s="2" t="s">
        <v>40</v>
      </c>
      <c r="C18" s="2">
        <v>8</v>
      </c>
      <c r="D18" s="2" t="s">
        <v>417</v>
      </c>
      <c r="F18" s="2">
        <v>0.99</v>
      </c>
      <c r="G18" s="2" t="s">
        <v>429</v>
      </c>
      <c r="H18" s="2">
        <v>1223</v>
      </c>
      <c r="I18" s="2" t="s">
        <v>272</v>
      </c>
      <c r="K18" s="2">
        <v>5.5229999999999997</v>
      </c>
      <c r="L18" s="2" t="s">
        <v>208</v>
      </c>
      <c r="M18" s="2">
        <v>152</v>
      </c>
      <c r="N18" s="2" t="s">
        <v>437</v>
      </c>
    </row>
    <row r="19" spans="1:14" x14ac:dyDescent="0.2">
      <c r="A19" s="2">
        <v>0.51</v>
      </c>
      <c r="B19" s="2" t="s">
        <v>418</v>
      </c>
      <c r="C19" s="2">
        <v>2575</v>
      </c>
      <c r="D19" s="2" t="s">
        <v>19</v>
      </c>
      <c r="F19" s="2">
        <v>0.60699999999999998</v>
      </c>
      <c r="G19" s="2" t="s">
        <v>40</v>
      </c>
      <c r="H19" s="2">
        <v>32</v>
      </c>
      <c r="I19" s="2" t="s">
        <v>419</v>
      </c>
      <c r="K19" s="2">
        <v>4.7640000000000002</v>
      </c>
      <c r="L19" s="2" t="s">
        <v>438</v>
      </c>
      <c r="M19" s="2">
        <v>1836</v>
      </c>
      <c r="N19" s="2" t="s">
        <v>273</v>
      </c>
    </row>
    <row r="20" spans="1:14" x14ac:dyDescent="0.2">
      <c r="A20" s="2">
        <v>0.48299999999999998</v>
      </c>
      <c r="B20" s="2" t="s">
        <v>40</v>
      </c>
      <c r="C20" s="2">
        <v>32</v>
      </c>
      <c r="D20" s="2" t="s">
        <v>419</v>
      </c>
      <c r="F20" s="2">
        <v>0.43099999999999999</v>
      </c>
      <c r="G20" s="2" t="s">
        <v>40</v>
      </c>
      <c r="H20" s="2">
        <v>8</v>
      </c>
      <c r="I20" s="2" t="s">
        <v>417</v>
      </c>
      <c r="K20" s="2">
        <v>3.7989999999999999</v>
      </c>
      <c r="L20" s="2" t="s">
        <v>439</v>
      </c>
      <c r="M20" s="2">
        <v>152</v>
      </c>
      <c r="N20" s="2" t="s">
        <v>422</v>
      </c>
    </row>
    <row r="21" spans="1:14" x14ac:dyDescent="0.2">
      <c r="A21" s="2">
        <v>0.35299999999999998</v>
      </c>
      <c r="B21" s="2" t="s">
        <v>174</v>
      </c>
      <c r="C21" s="2">
        <v>5093</v>
      </c>
      <c r="D21" s="2" t="s">
        <v>15</v>
      </c>
      <c r="F21" s="2">
        <v>0.39100000000000001</v>
      </c>
      <c r="G21" s="2" t="s">
        <v>174</v>
      </c>
      <c r="H21" s="2">
        <v>5093</v>
      </c>
      <c r="I21" s="2" t="s">
        <v>15</v>
      </c>
      <c r="K21" s="2">
        <v>2.9860000000000002</v>
      </c>
      <c r="L21" s="2" t="s">
        <v>56</v>
      </c>
      <c r="M21" s="2">
        <v>49476</v>
      </c>
      <c r="N21" s="2" t="s">
        <v>277</v>
      </c>
    </row>
    <row r="22" spans="1:14" x14ac:dyDescent="0.2">
      <c r="A22" s="2">
        <v>0.29599999999999999</v>
      </c>
      <c r="B22" s="2" t="s">
        <v>420</v>
      </c>
      <c r="C22" s="2">
        <v>1214</v>
      </c>
      <c r="D22" s="2" t="s">
        <v>21</v>
      </c>
      <c r="F22" s="2">
        <v>0.372</v>
      </c>
      <c r="G22" s="2" t="s">
        <v>430</v>
      </c>
      <c r="H22" s="2">
        <v>2575</v>
      </c>
      <c r="I22" s="2" t="s">
        <v>19</v>
      </c>
      <c r="K22" s="2">
        <v>2.9319999999999999</v>
      </c>
      <c r="L22" s="2" t="s">
        <v>66</v>
      </c>
      <c r="M22" s="2">
        <v>18009</v>
      </c>
      <c r="N22" s="2" t="s">
        <v>19</v>
      </c>
    </row>
    <row r="23" spans="1:14" x14ac:dyDescent="0.2">
      <c r="A23" s="2">
        <v>0.27200000000000002</v>
      </c>
      <c r="B23" s="2" t="s">
        <v>235</v>
      </c>
      <c r="C23" s="2">
        <v>1214</v>
      </c>
      <c r="D23" s="2" t="s">
        <v>28</v>
      </c>
      <c r="F23" s="2">
        <v>0.29099999999999998</v>
      </c>
      <c r="G23" s="2" t="s">
        <v>420</v>
      </c>
      <c r="H23" s="2">
        <v>1214</v>
      </c>
      <c r="I23" s="2" t="s">
        <v>21</v>
      </c>
      <c r="K23" s="2">
        <v>2.532</v>
      </c>
      <c r="L23" s="2" t="s">
        <v>440</v>
      </c>
      <c r="M23" s="2">
        <v>38003</v>
      </c>
      <c r="N23" s="2" t="s">
        <v>15</v>
      </c>
    </row>
    <row r="24" spans="1:14" x14ac:dyDescent="0.2">
      <c r="A24" s="2">
        <v>0.246</v>
      </c>
      <c r="B24" s="2" t="s">
        <v>421</v>
      </c>
      <c r="C24" s="2">
        <v>106</v>
      </c>
      <c r="D24" s="2" t="s">
        <v>273</v>
      </c>
      <c r="F24" s="2">
        <v>0.26800000000000002</v>
      </c>
      <c r="G24" s="2" t="s">
        <v>421</v>
      </c>
      <c r="H24" s="2">
        <v>106</v>
      </c>
      <c r="I24" s="2" t="s">
        <v>273</v>
      </c>
      <c r="K24" s="2">
        <v>1.732</v>
      </c>
      <c r="L24" s="2" t="s">
        <v>94</v>
      </c>
      <c r="M24" s="2">
        <v>8570</v>
      </c>
      <c r="N24" s="2" t="s">
        <v>21</v>
      </c>
    </row>
    <row r="25" spans="1:14" x14ac:dyDescent="0.2">
      <c r="A25" s="2">
        <v>0.22600000000000001</v>
      </c>
      <c r="B25" s="2" t="s">
        <v>358</v>
      </c>
      <c r="C25" s="2">
        <v>8</v>
      </c>
      <c r="D25" s="2" t="s">
        <v>422</v>
      </c>
      <c r="F25" s="2">
        <v>0.254</v>
      </c>
      <c r="G25" s="2" t="s">
        <v>22</v>
      </c>
      <c r="H25" s="2">
        <v>2428</v>
      </c>
      <c r="I25" s="2" t="s">
        <v>30</v>
      </c>
      <c r="K25" s="2">
        <v>1.609</v>
      </c>
      <c r="L25" s="2" t="s">
        <v>261</v>
      </c>
      <c r="M25" s="2">
        <v>98952</v>
      </c>
      <c r="N25" s="2" t="s">
        <v>48</v>
      </c>
    </row>
    <row r="26" spans="1:14" x14ac:dyDescent="0.2">
      <c r="A26" s="2">
        <v>0.22</v>
      </c>
      <c r="B26" s="2" t="s">
        <v>66</v>
      </c>
      <c r="C26" s="2">
        <v>2428</v>
      </c>
      <c r="D26" s="2" t="s">
        <v>32</v>
      </c>
      <c r="F26" s="2">
        <v>0.254</v>
      </c>
      <c r="G26" s="2" t="s">
        <v>235</v>
      </c>
      <c r="H26" s="2">
        <v>1214</v>
      </c>
      <c r="I26" s="2" t="s">
        <v>28</v>
      </c>
      <c r="K26" s="2">
        <v>1.599</v>
      </c>
      <c r="L26" s="2" t="s">
        <v>441</v>
      </c>
      <c r="M26" s="2">
        <v>8570</v>
      </c>
      <c r="N26" s="2" t="s">
        <v>28</v>
      </c>
    </row>
    <row r="27" spans="1:14" x14ac:dyDescent="0.2">
      <c r="K27" s="2">
        <v>1.552</v>
      </c>
      <c r="L27" s="2" t="s">
        <v>376</v>
      </c>
      <c r="M27" s="2">
        <v>17142</v>
      </c>
      <c r="N27" s="2" t="s">
        <v>26</v>
      </c>
    </row>
    <row r="28" spans="1:14" x14ac:dyDescent="0.2">
      <c r="A28">
        <f>SUM(A1:A26)</f>
        <v>478.76899999999995</v>
      </c>
      <c r="F28">
        <f>SUM(F1:F26)</f>
        <v>571.66300000000012</v>
      </c>
      <c r="K28">
        <f>SUM(K1:K26)</f>
        <v>4453.8450000000021</v>
      </c>
    </row>
    <row r="30" spans="1:14" x14ac:dyDescent="0.2">
      <c r="A30" t="s">
        <v>423</v>
      </c>
      <c r="B30" t="s">
        <v>424</v>
      </c>
      <c r="F30" t="s">
        <v>423</v>
      </c>
      <c r="G30" t="s">
        <v>424</v>
      </c>
      <c r="K30" t="s">
        <v>423</v>
      </c>
      <c r="L30" t="s">
        <v>424</v>
      </c>
    </row>
    <row r="31" spans="1:14" x14ac:dyDescent="0.2">
      <c r="A31">
        <v>8</v>
      </c>
      <c r="B31" t="s">
        <v>286</v>
      </c>
      <c r="F31">
        <v>8</v>
      </c>
      <c r="G31" t="s">
        <v>286</v>
      </c>
      <c r="K31">
        <v>8</v>
      </c>
      <c r="L31" t="s">
        <v>286</v>
      </c>
    </row>
    <row r="32" spans="1:14" x14ac:dyDescent="0.2">
      <c r="A32">
        <v>20</v>
      </c>
      <c r="B32" t="s">
        <v>289</v>
      </c>
      <c r="F32">
        <v>20</v>
      </c>
      <c r="G32" t="s">
        <v>289</v>
      </c>
      <c r="K32">
        <v>20</v>
      </c>
      <c r="L32" t="s">
        <v>289</v>
      </c>
    </row>
    <row r="33" spans="1:12" x14ac:dyDescent="0.2">
      <c r="A33">
        <v>1</v>
      </c>
      <c r="B33" t="s">
        <v>425</v>
      </c>
      <c r="F33">
        <v>1</v>
      </c>
      <c r="G33" t="s">
        <v>425</v>
      </c>
      <c r="K33">
        <v>1</v>
      </c>
      <c r="L33" t="s">
        <v>425</v>
      </c>
    </row>
    <row r="34" spans="1:12" x14ac:dyDescent="0.2">
      <c r="A34">
        <v>1</v>
      </c>
      <c r="B34" t="s">
        <v>303</v>
      </c>
      <c r="F34">
        <v>1</v>
      </c>
      <c r="G34" t="s">
        <v>303</v>
      </c>
      <c r="K34">
        <v>1</v>
      </c>
      <c r="L34" t="s">
        <v>303</v>
      </c>
    </row>
    <row r="35" spans="1:12" x14ac:dyDescent="0.2">
      <c r="A35" t="s">
        <v>380</v>
      </c>
      <c r="B35">
        <v>60</v>
      </c>
      <c r="F35" t="s">
        <v>380</v>
      </c>
      <c r="G35">
        <v>60</v>
      </c>
      <c r="K35" t="s">
        <v>380</v>
      </c>
      <c r="L35">
        <v>60</v>
      </c>
    </row>
    <row r="36" spans="1:12" x14ac:dyDescent="0.2">
      <c r="F36" t="s">
        <v>431</v>
      </c>
      <c r="K36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median_image</vt:lpstr>
      <vt:lpstr>ml_training</vt:lpstr>
      <vt:lpstr>scaling_to_grid_application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Dethier</dc:creator>
  <cp:lastModifiedBy>Evan Dethier</cp:lastModifiedBy>
  <dcterms:created xsi:type="dcterms:W3CDTF">2025-06-03T12:38:47Z</dcterms:created>
  <dcterms:modified xsi:type="dcterms:W3CDTF">2025-06-10T20:47:51Z</dcterms:modified>
</cp:coreProperties>
</file>